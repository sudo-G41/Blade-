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IntegetC\Documents\"/>
    </mc:Choice>
  </mc:AlternateContent>
  <xr:revisionPtr revIDLastSave="0" documentId="13_ncr:1_{E0134A4D-3DF7-43EF-B628-3AE3E9BFCAB0}" xr6:coauthVersionLast="47" xr6:coauthVersionMax="47" xr10:uidLastSave="{00000000-0000-0000-0000-000000000000}"/>
  <bookViews>
    <workbookView xWindow="-108" yWindow="-108" windowWidth="23256" windowHeight="13176" firstSheet="12" activeTab="13" xr2:uid="{8633E70C-6DE8-4AD6-B6D2-8A187FD21BD0}"/>
  </bookViews>
  <sheets>
    <sheet name="5셋 방어구류" sheetId="1" state="veryHidden" r:id="rId1"/>
    <sheet name="3셋 악세류" sheetId="2" state="veryHidden" r:id="rId2"/>
    <sheet name="3셋 특장류" sheetId="3" state="veryHidden" r:id="rId3"/>
    <sheet name="혼합세트류1" sheetId="4" state="veryHidden" r:id="rId4"/>
    <sheet name="혼합세트류2" sheetId="5" state="veryHidden" r:id="rId5"/>
    <sheet name="혼합세트류3" sheetId="6" state="veryHidden" r:id="rId6"/>
    <sheet name="총합" sheetId="8" state="veryHidden" r:id="rId7"/>
    <sheet name="Sheet9" sheetId="9" state="veryHidden" r:id="rId8"/>
    <sheet name="정리" sheetId="12" state="veryHidden" r:id="rId9"/>
    <sheet name="정리2" sheetId="13" state="veryHidden" r:id="rId10"/>
    <sheet name="분류" sheetId="10" state="veryHidden" r:id="rId11"/>
    <sheet name="함수공간" sheetId="14" state="veryHidden" r:id="rId12"/>
    <sheet name="이벤트 던전 파밍 해보자!" sheetId="11" r:id="rId13"/>
    <sheet name="설명서" sheetId="15" r:id="rId1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16" i="9" l="1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E14" i="9"/>
  <c r="D14" i="9"/>
  <c r="C14" i="9"/>
  <c r="B14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E6" i="9"/>
  <c r="D6" i="9"/>
  <c r="C6" i="9"/>
  <c r="B6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E5" i="9"/>
  <c r="D5" i="9"/>
  <c r="C5" i="9"/>
  <c r="B5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E4" i="9"/>
  <c r="D4" i="9"/>
  <c r="C4" i="9"/>
  <c r="B4" i="9"/>
  <c r="W3" i="9"/>
  <c r="V3" i="9"/>
  <c r="U3" i="9"/>
  <c r="T3" i="9"/>
  <c r="S3" i="9"/>
  <c r="R3" i="9"/>
  <c r="Q3" i="9"/>
  <c r="P3" i="9"/>
  <c r="O3" i="9"/>
  <c r="N3" i="9"/>
  <c r="M3" i="9"/>
  <c r="L3" i="9"/>
  <c r="K3" i="9"/>
  <c r="J3" i="9"/>
  <c r="I3" i="9"/>
  <c r="H3" i="9"/>
  <c r="G3" i="9"/>
  <c r="F3" i="9"/>
  <c r="E3" i="9"/>
  <c r="D3" i="9"/>
  <c r="C3" i="9"/>
  <c r="B3" i="9"/>
  <c r="W2" i="9"/>
  <c r="V2" i="9"/>
  <c r="U2" i="9"/>
  <c r="T2" i="9"/>
  <c r="S2" i="9"/>
  <c r="R2" i="9"/>
  <c r="Q2" i="9"/>
  <c r="P2" i="9"/>
  <c r="O2" i="9"/>
  <c r="N2" i="9"/>
  <c r="M2" i="9"/>
  <c r="L2" i="9"/>
  <c r="K2" i="9"/>
  <c r="J2" i="9"/>
  <c r="I2" i="9"/>
  <c r="H2" i="9"/>
  <c r="G2" i="9"/>
  <c r="F2" i="9"/>
  <c r="E2" i="9"/>
  <c r="D2" i="9"/>
  <c r="C2" i="9"/>
  <c r="B2" i="9"/>
</calcChain>
</file>

<file path=xl/sharedStrings.xml><?xml version="1.0" encoding="utf-8"?>
<sst xmlns="http://schemas.openxmlformats.org/spreadsheetml/2006/main" count="1488" uniqueCount="152">
  <si>
    <t>상의</t>
  </si>
  <si>
    <t>상의</t>
    <phoneticPr fontId="1" type="noConversion"/>
  </si>
  <si>
    <t>하의</t>
  </si>
  <si>
    <t>하의</t>
    <phoneticPr fontId="1" type="noConversion"/>
  </si>
  <si>
    <t>어깨</t>
  </si>
  <si>
    <t>어깨</t>
    <phoneticPr fontId="1" type="noConversion"/>
  </si>
  <si>
    <t>벨트</t>
  </si>
  <si>
    <t>벨트</t>
    <phoneticPr fontId="1" type="noConversion"/>
  </si>
  <si>
    <t>신발</t>
  </si>
  <si>
    <t>신발</t>
    <phoneticPr fontId="1" type="noConversion"/>
  </si>
  <si>
    <t>제사장</t>
  </si>
  <si>
    <t>제사장</t>
    <phoneticPr fontId="1" type="noConversion"/>
  </si>
  <si>
    <t>마법사</t>
  </si>
  <si>
    <t>마법사</t>
    <phoneticPr fontId="1" type="noConversion"/>
  </si>
  <si>
    <t>무희</t>
  </si>
  <si>
    <t>무희</t>
    <phoneticPr fontId="1" type="noConversion"/>
  </si>
  <si>
    <t>그림자</t>
  </si>
  <si>
    <t>그림자</t>
    <phoneticPr fontId="1" type="noConversion"/>
  </si>
  <si>
    <t>집행자</t>
  </si>
  <si>
    <t>집행자</t>
    <phoneticPr fontId="1" type="noConversion"/>
  </si>
  <si>
    <t>베테랑</t>
  </si>
  <si>
    <t>베테랑</t>
    <phoneticPr fontId="1" type="noConversion"/>
  </si>
  <si>
    <t>사막</t>
  </si>
  <si>
    <t>사막</t>
    <phoneticPr fontId="1" type="noConversion"/>
  </si>
  <si>
    <t>트로피카</t>
  </si>
  <si>
    <t>트로피카</t>
    <phoneticPr fontId="1" type="noConversion"/>
  </si>
  <si>
    <t>A.D.P</t>
  </si>
  <si>
    <t>A.D.P</t>
    <phoneticPr fontId="1" type="noConversion"/>
  </si>
  <si>
    <t>개악</t>
  </si>
  <si>
    <t>개악</t>
    <phoneticPr fontId="1" type="noConversion"/>
  </si>
  <si>
    <t>역작</t>
  </si>
  <si>
    <t>역작</t>
    <phoneticPr fontId="1" type="noConversion"/>
  </si>
  <si>
    <t>구속</t>
  </si>
  <si>
    <t>구속</t>
    <phoneticPr fontId="1" type="noConversion"/>
  </si>
  <si>
    <t>흐름</t>
  </si>
  <si>
    <t>흐름</t>
    <phoneticPr fontId="1" type="noConversion"/>
  </si>
  <si>
    <t>선택</t>
  </si>
  <si>
    <t>선택</t>
    <phoneticPr fontId="1" type="noConversion"/>
  </si>
  <si>
    <t>대자연</t>
  </si>
  <si>
    <t>대자연</t>
    <phoneticPr fontId="1" type="noConversion"/>
  </si>
  <si>
    <t>은신처</t>
  </si>
  <si>
    <t>은신처</t>
    <phoneticPr fontId="1" type="noConversion"/>
  </si>
  <si>
    <t>협곡</t>
  </si>
  <si>
    <t>협곡</t>
    <phoneticPr fontId="1" type="noConversion"/>
  </si>
  <si>
    <t>프머</t>
    <phoneticPr fontId="1" type="noConversion"/>
  </si>
  <si>
    <t>어선</t>
  </si>
  <si>
    <t>어선</t>
    <phoneticPr fontId="1" type="noConversion"/>
  </si>
  <si>
    <t>광장</t>
  </si>
  <si>
    <t>광장</t>
    <phoneticPr fontId="1" type="noConversion"/>
  </si>
  <si>
    <t>녹도</t>
  </si>
  <si>
    <t>녹도</t>
    <phoneticPr fontId="1" type="noConversion"/>
  </si>
  <si>
    <t>선더</t>
  </si>
  <si>
    <t>선더</t>
    <phoneticPr fontId="1" type="noConversion"/>
  </si>
  <si>
    <t>타도</t>
  </si>
  <si>
    <t>타도</t>
    <phoneticPr fontId="1" type="noConversion"/>
  </si>
  <si>
    <t>의혹</t>
  </si>
  <si>
    <t>의혹</t>
    <phoneticPr fontId="1" type="noConversion"/>
  </si>
  <si>
    <t>머크</t>
  </si>
  <si>
    <t>머크</t>
    <phoneticPr fontId="1" type="noConversion"/>
  </si>
  <si>
    <t>하멜른</t>
  </si>
  <si>
    <t>하멜른</t>
    <phoneticPr fontId="1" type="noConversion"/>
  </si>
  <si>
    <t>마녀</t>
  </si>
  <si>
    <t>마녀</t>
    <phoneticPr fontId="1" type="noConversion"/>
  </si>
  <si>
    <t>돌풍</t>
  </si>
  <si>
    <t>돌풍</t>
    <phoneticPr fontId="1" type="noConversion"/>
  </si>
  <si>
    <t>피나비</t>
  </si>
  <si>
    <t>피나비</t>
    <phoneticPr fontId="1" type="noConversion"/>
  </si>
  <si>
    <t>불그</t>
  </si>
  <si>
    <t>불그</t>
    <phoneticPr fontId="1" type="noConversion"/>
  </si>
  <si>
    <t>라멜른</t>
    <phoneticPr fontId="1" type="noConversion"/>
  </si>
  <si>
    <t>술식</t>
  </si>
  <si>
    <t>술식</t>
    <phoneticPr fontId="1" type="noConversion"/>
  </si>
  <si>
    <t>먼동</t>
  </si>
  <si>
    <t>먼동</t>
    <phoneticPr fontId="1" type="noConversion"/>
  </si>
  <si>
    <t>트앵</t>
  </si>
  <si>
    <t>트앵</t>
    <phoneticPr fontId="1" type="noConversion"/>
  </si>
  <si>
    <t>정령</t>
  </si>
  <si>
    <t>정령</t>
    <phoneticPr fontId="1" type="noConversion"/>
  </si>
  <si>
    <t>목걸이</t>
  </si>
  <si>
    <t>목걸이</t>
    <phoneticPr fontId="1" type="noConversion"/>
  </si>
  <si>
    <t>팔찌</t>
  </si>
  <si>
    <t>팔찌</t>
    <phoneticPr fontId="1" type="noConversion"/>
  </si>
  <si>
    <t>반지</t>
  </si>
  <si>
    <t>반지</t>
    <phoneticPr fontId="1" type="noConversion"/>
  </si>
  <si>
    <t>보조장비</t>
  </si>
  <si>
    <t>보조장비</t>
    <phoneticPr fontId="1" type="noConversion"/>
  </si>
  <si>
    <t>마법석</t>
  </si>
  <si>
    <t>마법석</t>
    <phoneticPr fontId="1" type="noConversion"/>
  </si>
  <si>
    <t>귀걸이</t>
  </si>
  <si>
    <t>귀걸이</t>
    <phoneticPr fontId="1" type="noConversion"/>
  </si>
  <si>
    <t>군신</t>
  </si>
  <si>
    <t>군신</t>
    <phoneticPr fontId="1" type="noConversion"/>
  </si>
  <si>
    <t>영보</t>
  </si>
  <si>
    <t>영보</t>
    <phoneticPr fontId="1" type="noConversion"/>
  </si>
  <si>
    <t>시전</t>
  </si>
  <si>
    <t>시전</t>
    <phoneticPr fontId="1" type="noConversion"/>
  </si>
  <si>
    <t>싱크로</t>
  </si>
  <si>
    <t>싱크로</t>
    <phoneticPr fontId="1" type="noConversion"/>
  </si>
  <si>
    <t>심연</t>
  </si>
  <si>
    <t>심연</t>
    <phoneticPr fontId="1" type="noConversion"/>
  </si>
  <si>
    <t>황혼</t>
  </si>
  <si>
    <t>황혼</t>
    <phoneticPr fontId="1" type="noConversion"/>
  </si>
  <si>
    <t>기구</t>
  </si>
  <si>
    <t>기구</t>
    <phoneticPr fontId="1" type="noConversion"/>
  </si>
  <si>
    <t>분노</t>
  </si>
  <si>
    <t>분노</t>
    <phoneticPr fontId="1" type="noConversion"/>
  </si>
  <si>
    <t>흑마</t>
  </si>
  <si>
    <t>흑마</t>
    <phoneticPr fontId="1" type="noConversion"/>
  </si>
  <si>
    <t>시여</t>
  </si>
  <si>
    <t>시여</t>
    <phoneticPr fontId="1" type="noConversion"/>
  </si>
  <si>
    <t>함성</t>
  </si>
  <si>
    <t>함성</t>
    <phoneticPr fontId="1" type="noConversion"/>
  </si>
  <si>
    <t>광란</t>
  </si>
  <si>
    <t>광란</t>
    <phoneticPr fontId="1" type="noConversion"/>
  </si>
  <si>
    <t>나락</t>
  </si>
  <si>
    <t>나락</t>
    <phoneticPr fontId="1" type="noConversion"/>
  </si>
  <si>
    <t>차원</t>
  </si>
  <si>
    <t>차원</t>
    <phoneticPr fontId="1" type="noConversion"/>
  </si>
  <si>
    <t>운명</t>
  </si>
  <si>
    <t>운명</t>
    <phoneticPr fontId="1" type="noConversion"/>
  </si>
  <si>
    <t>아린</t>
  </si>
  <si>
    <t>아린</t>
    <phoneticPr fontId="1" type="noConversion"/>
  </si>
  <si>
    <t>목록</t>
    <phoneticPr fontId="1" type="noConversion"/>
  </si>
  <si>
    <t>던전</t>
    <phoneticPr fontId="1" type="noConversion"/>
  </si>
  <si>
    <t>아이템</t>
    <phoneticPr fontId="1" type="noConversion"/>
  </si>
  <si>
    <t>부위</t>
    <phoneticPr fontId="1" type="noConversion"/>
  </si>
  <si>
    <t>선택 번호</t>
    <phoneticPr fontId="1" type="noConversion"/>
  </si>
  <si>
    <t>2. 어… 뭔가 적으려다 생각이 안나네요 그냥 유용하게 써주세요</t>
    <phoneticPr fontId="1" type="noConversion"/>
  </si>
  <si>
    <t>3. 문제 있으면… 글세요?</t>
    <phoneticPr fontId="1" type="noConversion"/>
  </si>
  <si>
    <t>각 부위별</t>
    <phoneticPr fontId="1" type="noConversion"/>
  </si>
  <si>
    <t>선택 가능</t>
    <phoneticPr fontId="1" type="noConversion"/>
  </si>
  <si>
    <t>여기서 세트를 한번에 선택 가능</t>
  </si>
  <si>
    <t>사냥터 기준으로</t>
    <phoneticPr fontId="1" type="noConversion"/>
  </si>
  <si>
    <t>선택 부위중 어디가 나오는지</t>
    <phoneticPr fontId="1" type="noConversion"/>
  </si>
  <si>
    <t>확인 가능</t>
    <phoneticPr fontId="1" type="noConversion"/>
  </si>
  <si>
    <t>부위별</t>
    <phoneticPr fontId="1" type="noConversion"/>
  </si>
  <si>
    <t>사냥터 확인</t>
    <phoneticPr fontId="1" type="noConversion"/>
  </si>
  <si>
    <t>4. 설명서는 아래 설명서 시트를 확인해 주세요!</t>
    <phoneticPr fontId="1" type="noConversion"/>
  </si>
  <si>
    <t>읽고 쓰자 미묘한 프로그램!</t>
    <phoneticPr fontId="1" type="noConversion"/>
  </si>
  <si>
    <t>예를들어 베테랑 나락순으로 선택하면</t>
    <phoneticPr fontId="1" type="noConversion"/>
  </si>
  <si>
    <t>어깨, 상의, 하의, 밸트는 베테랑</t>
    <phoneticPr fontId="1" type="noConversion"/>
  </si>
  <si>
    <t>신발 등등 나락 이런식으로 선택이 됩니다.</t>
    <phoneticPr fontId="1" type="noConversion"/>
  </si>
  <si>
    <t xml:space="preserve">왜냐! 신발이 중복이라 나중에 누른 </t>
    <phoneticPr fontId="1" type="noConversion"/>
  </si>
  <si>
    <t>나락으로 덮어 씌워지기 때문이죠!</t>
    <phoneticPr fontId="1" type="noConversion"/>
  </si>
  <si>
    <t>선택을 다</t>
    <phoneticPr fontId="1" type="noConversion"/>
  </si>
  <si>
    <t>했다면 눌러주세요!</t>
    <phoneticPr fontId="1" type="noConversion"/>
  </si>
  <si>
    <t>사실 계산버튼 누르면 세팅에 맞춰서 다시 띄워주는데</t>
    <phoneticPr fontId="1" type="noConversion"/>
  </si>
  <si>
    <t>혹시몰라 부위별 사냥터&amp;사냥터별 부위 공란으로 만들때 사용하시면 됩니다.</t>
    <phoneticPr fontId="1" type="noConversion"/>
  </si>
  <si>
    <t>파츠..? 선택한 것들을 전부 공란으로 만들어 주는 신비의 버튼</t>
    <phoneticPr fontId="1" type="noConversion"/>
  </si>
  <si>
    <t>함부로 눌렀다간 다시 세팅해야한다는 슬픔이…</t>
    <phoneticPr fontId="1" type="noConversion"/>
  </si>
  <si>
    <t>1. 매크로 이용하여 만들어서 콘탠츠 사용을 해줘야 작동 합니다.</t>
    <phoneticPr fontId="1" type="noConversion"/>
  </si>
  <si>
    <t>원하는 셋 있으면 찾아서 ㄱㄱ!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</si>
</sst>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b/>
      <sz val="14"/>
      <color theme="1"/>
      <name val="궁서체"/>
      <family val="1"/>
      <charset val="129"/>
    </font>
  </fonts>
  <fills count="2">
    <fill>
      <patternFill patternType="none"/>
    </fill>
    <fill>
      <patternFill patternType="gray125"/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11" xfId="0" applyBorder="1">
      <alignment vertical="center"/>
    </xf>
    <xf numFmtId="0" fontId="0" fillId="0" borderId="2" xfId="0" applyBorder="1">
      <alignment vertical="center"/>
    </xf>
    <xf numFmtId="0" fontId="0" fillId="0" borderId="14" xfId="0" applyBorder="1">
      <alignment vertical="center"/>
    </xf>
    <xf numFmtId="0" fontId="0" fillId="0" borderId="1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21" xfId="0" applyBorder="1">
      <alignment vertical="center"/>
    </xf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8" xfId="0" applyBorder="1">
      <alignment vertical="center"/>
    </xf>
    <xf numFmtId="0" fontId="0" fillId="0" borderId="12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0" xfId="0" applyBorder="1">
      <alignment vertical="center"/>
    </xf>
    <xf numFmtId="0" fontId="0" fillId="0" borderId="29" xfId="0" applyBorder="1">
      <alignment vertical="center"/>
    </xf>
    <xf numFmtId="0" fontId="0" fillId="0" borderId="20" xfId="0" applyBorder="1" applyAlignment="1">
      <alignment vertical="center"/>
    </xf>
    <xf numFmtId="0" fontId="0" fillId="0" borderId="16" xfId="0" applyBorder="1" applyAlignment="1">
      <alignment vertical="center"/>
    </xf>
    <xf numFmtId="0" fontId="0" fillId="0" borderId="30" xfId="0" applyBorder="1">
      <alignment vertical="center"/>
    </xf>
    <xf numFmtId="0" fontId="0" fillId="0" borderId="31" xfId="0" applyBorder="1">
      <alignment vertical="center"/>
    </xf>
    <xf numFmtId="0" fontId="0" fillId="0" borderId="32" xfId="0" applyBorder="1">
      <alignment vertical="center"/>
    </xf>
    <xf numFmtId="0" fontId="0" fillId="0" borderId="33" xfId="0" applyBorder="1" applyAlignment="1">
      <alignment vertical="center"/>
    </xf>
    <xf numFmtId="0" fontId="0" fillId="0" borderId="17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289560</xdr:colOff>
      <xdr:row>4</xdr:row>
      <xdr:rowOff>83820</xdr:rowOff>
    </xdr:from>
    <xdr:to>
      <xdr:col>6</xdr:col>
      <xdr:colOff>647700</xdr:colOff>
      <xdr:row>5</xdr:row>
      <xdr:rowOff>22860</xdr:rowOff>
    </xdr:to>
    <xdr:sp macro="[0]!쉿" textlink="">
      <xdr:nvSpPr>
        <xdr:cNvPr id="2" name="직사각형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312920" y="967740"/>
          <a:ext cx="358140" cy="16002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2</xdr:row>
          <xdr:rowOff>213360</xdr:rowOff>
        </xdr:from>
        <xdr:to>
          <xdr:col>6</xdr:col>
          <xdr:colOff>464820</xdr:colOff>
          <xdr:row>6</xdr:row>
          <xdr:rowOff>0</xdr:rowOff>
        </xdr:to>
        <xdr:sp macro="" textlink="">
          <xdr:nvSpPr>
            <xdr:cNvPr id="11281" name="Button 17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00000000-0008-0000-0C00-00001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시작!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(요거 눌러요!)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601980</xdr:colOff>
      <xdr:row>4</xdr:row>
      <xdr:rowOff>167640</xdr:rowOff>
    </xdr:from>
    <xdr:to>
      <xdr:col>14</xdr:col>
      <xdr:colOff>510540</xdr:colOff>
      <xdr:row>9</xdr:row>
      <xdr:rowOff>137160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5295900" y="1051560"/>
          <a:ext cx="4602480" cy="1074420"/>
        </a:xfrm>
        <a:custGeom>
          <a:avLst/>
          <a:gdLst>
            <a:gd name="connsiteX0" fmla="*/ 0 w 4602480"/>
            <a:gd name="connsiteY0" fmla="*/ 0 h 1074420"/>
            <a:gd name="connsiteX1" fmla="*/ 611472 w 4602480"/>
            <a:gd name="connsiteY1" fmla="*/ 0 h 1074420"/>
            <a:gd name="connsiteX2" fmla="*/ 1130895 w 4602480"/>
            <a:gd name="connsiteY2" fmla="*/ 0 h 1074420"/>
            <a:gd name="connsiteX3" fmla="*/ 1834417 w 4602480"/>
            <a:gd name="connsiteY3" fmla="*/ 0 h 1074420"/>
            <a:gd name="connsiteX4" fmla="*/ 2583964 w 4602480"/>
            <a:gd name="connsiteY4" fmla="*/ 0 h 1074420"/>
            <a:gd name="connsiteX5" fmla="*/ 3103387 w 4602480"/>
            <a:gd name="connsiteY5" fmla="*/ 0 h 1074420"/>
            <a:gd name="connsiteX6" fmla="*/ 3714859 w 4602480"/>
            <a:gd name="connsiteY6" fmla="*/ 0 h 1074420"/>
            <a:gd name="connsiteX7" fmla="*/ 4602480 w 4602480"/>
            <a:gd name="connsiteY7" fmla="*/ 0 h 1074420"/>
            <a:gd name="connsiteX8" fmla="*/ 4602480 w 4602480"/>
            <a:gd name="connsiteY8" fmla="*/ 547954 h 1074420"/>
            <a:gd name="connsiteX9" fmla="*/ 4602480 w 4602480"/>
            <a:gd name="connsiteY9" fmla="*/ 1074420 h 1074420"/>
            <a:gd name="connsiteX10" fmla="*/ 4083057 w 4602480"/>
            <a:gd name="connsiteY10" fmla="*/ 1074420 h 1074420"/>
            <a:gd name="connsiteX11" fmla="*/ 3471585 w 4602480"/>
            <a:gd name="connsiteY11" fmla="*/ 1074420 h 1074420"/>
            <a:gd name="connsiteX12" fmla="*/ 2906137 w 4602480"/>
            <a:gd name="connsiteY12" fmla="*/ 1074420 h 1074420"/>
            <a:gd name="connsiteX13" fmla="*/ 2340690 w 4602480"/>
            <a:gd name="connsiteY13" fmla="*/ 1074420 h 1074420"/>
            <a:gd name="connsiteX14" fmla="*/ 1821267 w 4602480"/>
            <a:gd name="connsiteY14" fmla="*/ 1074420 h 1074420"/>
            <a:gd name="connsiteX15" fmla="*/ 1163770 w 4602480"/>
            <a:gd name="connsiteY15" fmla="*/ 1074420 h 1074420"/>
            <a:gd name="connsiteX16" fmla="*/ 598322 w 4602480"/>
            <a:gd name="connsiteY16" fmla="*/ 1074420 h 1074420"/>
            <a:gd name="connsiteX17" fmla="*/ 0 w 4602480"/>
            <a:gd name="connsiteY17" fmla="*/ 1074420 h 1074420"/>
            <a:gd name="connsiteX18" fmla="*/ 0 w 4602480"/>
            <a:gd name="connsiteY18" fmla="*/ 547954 h 1074420"/>
            <a:gd name="connsiteX19" fmla="*/ 0 w 4602480"/>
            <a:gd name="connsiteY19" fmla="*/ 0 h 107442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</a:cxnLst>
          <a:rect l="l" t="t" r="r" b="b"/>
          <a:pathLst>
            <a:path w="4602480" h="1074420" extrusionOk="0">
              <a:moveTo>
                <a:pt x="0" y="0"/>
              </a:moveTo>
              <a:cubicBezTo>
                <a:pt x="164873" y="4864"/>
                <a:pt x="419721" y="-22412"/>
                <a:pt x="611472" y="0"/>
              </a:cubicBezTo>
              <a:cubicBezTo>
                <a:pt x="803223" y="22412"/>
                <a:pt x="975608" y="15246"/>
                <a:pt x="1130895" y="0"/>
              </a:cubicBezTo>
              <a:cubicBezTo>
                <a:pt x="1286182" y="-15246"/>
                <a:pt x="1483776" y="31271"/>
                <a:pt x="1834417" y="0"/>
              </a:cubicBezTo>
              <a:cubicBezTo>
                <a:pt x="2185058" y="-31271"/>
                <a:pt x="2392589" y="21724"/>
                <a:pt x="2583964" y="0"/>
              </a:cubicBezTo>
              <a:cubicBezTo>
                <a:pt x="2775339" y="-21724"/>
                <a:pt x="2872191" y="6364"/>
                <a:pt x="3103387" y="0"/>
              </a:cubicBezTo>
              <a:cubicBezTo>
                <a:pt x="3334583" y="-6364"/>
                <a:pt x="3473639" y="28264"/>
                <a:pt x="3714859" y="0"/>
              </a:cubicBezTo>
              <a:cubicBezTo>
                <a:pt x="3956079" y="-28264"/>
                <a:pt x="4222867" y="22016"/>
                <a:pt x="4602480" y="0"/>
              </a:cubicBezTo>
              <a:cubicBezTo>
                <a:pt x="4581781" y="134364"/>
                <a:pt x="4598857" y="376498"/>
                <a:pt x="4602480" y="547954"/>
              </a:cubicBezTo>
              <a:cubicBezTo>
                <a:pt x="4606103" y="719410"/>
                <a:pt x="4602614" y="855643"/>
                <a:pt x="4602480" y="1074420"/>
              </a:cubicBezTo>
              <a:cubicBezTo>
                <a:pt x="4453129" y="1084272"/>
                <a:pt x="4210823" y="1095129"/>
                <a:pt x="4083057" y="1074420"/>
              </a:cubicBezTo>
              <a:cubicBezTo>
                <a:pt x="3955291" y="1053711"/>
                <a:pt x="3625018" y="1069744"/>
                <a:pt x="3471585" y="1074420"/>
              </a:cubicBezTo>
              <a:cubicBezTo>
                <a:pt x="3318152" y="1079096"/>
                <a:pt x="3187713" y="1064610"/>
                <a:pt x="2906137" y="1074420"/>
              </a:cubicBezTo>
              <a:cubicBezTo>
                <a:pt x="2624561" y="1084230"/>
                <a:pt x="2529615" y="1060077"/>
                <a:pt x="2340690" y="1074420"/>
              </a:cubicBezTo>
              <a:cubicBezTo>
                <a:pt x="2151765" y="1088763"/>
                <a:pt x="2052181" y="1049406"/>
                <a:pt x="1821267" y="1074420"/>
              </a:cubicBezTo>
              <a:cubicBezTo>
                <a:pt x="1590353" y="1099434"/>
                <a:pt x="1391712" y="1098828"/>
                <a:pt x="1163770" y="1074420"/>
              </a:cubicBezTo>
              <a:cubicBezTo>
                <a:pt x="935828" y="1050012"/>
                <a:pt x="854205" y="1096276"/>
                <a:pt x="598322" y="1074420"/>
              </a:cubicBezTo>
              <a:cubicBezTo>
                <a:pt x="342439" y="1052564"/>
                <a:pt x="241748" y="1060164"/>
                <a:pt x="0" y="1074420"/>
              </a:cubicBezTo>
              <a:cubicBezTo>
                <a:pt x="-21460" y="885481"/>
                <a:pt x="10510" y="718950"/>
                <a:pt x="0" y="547954"/>
              </a:cubicBezTo>
              <a:cubicBezTo>
                <a:pt x="-10510" y="376958"/>
                <a:pt x="14801" y="151694"/>
                <a:pt x="0" y="0"/>
              </a:cubicBezTo>
              <a:close/>
            </a:path>
          </a:pathLst>
        </a:custGeom>
        <a:noFill/>
        <a:ln w="12700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  <a:extLst>
            <a:ext uri="{C807C97D-BFC1-408E-A445-0C87EB9F89A2}">
              <ask:lineSketchStyleProps xmlns:ask="http://schemas.microsoft.com/office/drawing/2018/sketchyshapes" sd="2215597123">
                <a:prstGeom prst="rect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419100</xdr:colOff>
      <xdr:row>3</xdr:row>
      <xdr:rowOff>121920</xdr:rowOff>
    </xdr:from>
    <xdr:to>
      <xdr:col>8</xdr:col>
      <xdr:colOff>106680</xdr:colOff>
      <xdr:row>5</xdr:row>
      <xdr:rowOff>22860</xdr:rowOff>
    </xdr:to>
    <xdr:sp macro="" textlink="">
      <xdr:nvSpPr>
        <xdr:cNvPr id="4" name="별: 꼭짓점 5개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/>
      </xdr:nvSpPr>
      <xdr:spPr>
        <a:xfrm>
          <a:off x="5113020" y="784860"/>
          <a:ext cx="358140" cy="342900"/>
        </a:xfrm>
        <a:custGeom>
          <a:avLst/>
          <a:gdLst>
            <a:gd name="connsiteX0" fmla="*/ 0 w 358140"/>
            <a:gd name="connsiteY0" fmla="*/ 130976 h 342900"/>
            <a:gd name="connsiteX1" fmla="*/ 136798 w 358140"/>
            <a:gd name="connsiteY1" fmla="*/ 130977 h 342900"/>
            <a:gd name="connsiteX2" fmla="*/ 179070 w 358140"/>
            <a:gd name="connsiteY2" fmla="*/ 0 h 342900"/>
            <a:gd name="connsiteX3" fmla="*/ 221342 w 358140"/>
            <a:gd name="connsiteY3" fmla="*/ 130977 h 342900"/>
            <a:gd name="connsiteX4" fmla="*/ 358140 w 358140"/>
            <a:gd name="connsiteY4" fmla="*/ 130976 h 342900"/>
            <a:gd name="connsiteX5" fmla="*/ 247467 w 358140"/>
            <a:gd name="connsiteY5" fmla="*/ 211923 h 342900"/>
            <a:gd name="connsiteX6" fmla="*/ 289741 w 358140"/>
            <a:gd name="connsiteY6" fmla="*/ 342899 h 342900"/>
            <a:gd name="connsiteX7" fmla="*/ 179070 w 358140"/>
            <a:gd name="connsiteY7" fmla="*/ 261950 h 342900"/>
            <a:gd name="connsiteX8" fmla="*/ 68399 w 358140"/>
            <a:gd name="connsiteY8" fmla="*/ 342899 h 342900"/>
            <a:gd name="connsiteX9" fmla="*/ 110673 w 358140"/>
            <a:gd name="connsiteY9" fmla="*/ 211923 h 342900"/>
            <a:gd name="connsiteX10" fmla="*/ 0 w 358140"/>
            <a:gd name="connsiteY10" fmla="*/ 130976 h 342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358140" h="342900" extrusionOk="0">
              <a:moveTo>
                <a:pt x="0" y="130976"/>
              </a:moveTo>
              <a:cubicBezTo>
                <a:pt x="40654" y="133005"/>
                <a:pt x="88529" y="126795"/>
                <a:pt x="136798" y="130977"/>
              </a:cubicBezTo>
              <a:cubicBezTo>
                <a:pt x="161538" y="67960"/>
                <a:pt x="167485" y="40204"/>
                <a:pt x="179070" y="0"/>
              </a:cubicBezTo>
              <a:cubicBezTo>
                <a:pt x="184483" y="34928"/>
                <a:pt x="211475" y="78596"/>
                <a:pt x="221342" y="130977"/>
              </a:cubicBezTo>
              <a:cubicBezTo>
                <a:pt x="281953" y="131174"/>
                <a:pt x="305679" y="127049"/>
                <a:pt x="358140" y="130976"/>
              </a:cubicBezTo>
              <a:cubicBezTo>
                <a:pt x="313357" y="158449"/>
                <a:pt x="279158" y="181888"/>
                <a:pt x="247467" y="211923"/>
              </a:cubicBezTo>
              <a:cubicBezTo>
                <a:pt x="263632" y="254168"/>
                <a:pt x="278757" y="298322"/>
                <a:pt x="289741" y="342899"/>
              </a:cubicBezTo>
              <a:cubicBezTo>
                <a:pt x="237309" y="311258"/>
                <a:pt x="219956" y="283416"/>
                <a:pt x="179070" y="261950"/>
              </a:cubicBezTo>
              <a:cubicBezTo>
                <a:pt x="127061" y="298428"/>
                <a:pt x="101206" y="317339"/>
                <a:pt x="68399" y="342899"/>
              </a:cubicBezTo>
              <a:cubicBezTo>
                <a:pt x="71110" y="313602"/>
                <a:pt x="106453" y="242281"/>
                <a:pt x="110673" y="211923"/>
              </a:cubicBezTo>
              <a:cubicBezTo>
                <a:pt x="70065" y="176436"/>
                <a:pt x="28410" y="154560"/>
                <a:pt x="0" y="130976"/>
              </a:cubicBezTo>
              <a:close/>
            </a:path>
          </a:pathLst>
        </a:custGeom>
        <a:noFill/>
        <a:ln w="2857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  <a:extLst>
            <a:ext uri="{C807C97D-BFC1-408E-A445-0C87EB9F89A2}">
              <ask:lineSketchStyleProps xmlns:ask="http://schemas.microsoft.com/office/drawing/2018/sketchyshapes" sd="3419786349">
                <a:prstGeom prst="star5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14</xdr:col>
      <xdr:colOff>320040</xdr:colOff>
      <xdr:row>8</xdr:row>
      <xdr:rowOff>160020</xdr:rowOff>
    </xdr:from>
    <xdr:to>
      <xdr:col>15</xdr:col>
      <xdr:colOff>7620</xdr:colOff>
      <xdr:row>10</xdr:row>
      <xdr:rowOff>60960</xdr:rowOff>
    </xdr:to>
    <xdr:sp macro="" textlink="">
      <xdr:nvSpPr>
        <xdr:cNvPr id="6" name="별: 꼭짓점 5개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/>
      </xdr:nvSpPr>
      <xdr:spPr>
        <a:xfrm>
          <a:off x="9707880" y="1927860"/>
          <a:ext cx="358140" cy="342900"/>
        </a:xfrm>
        <a:custGeom>
          <a:avLst/>
          <a:gdLst>
            <a:gd name="connsiteX0" fmla="*/ 0 w 358140"/>
            <a:gd name="connsiteY0" fmla="*/ 130976 h 342900"/>
            <a:gd name="connsiteX1" fmla="*/ 136798 w 358140"/>
            <a:gd name="connsiteY1" fmla="*/ 130977 h 342900"/>
            <a:gd name="connsiteX2" fmla="*/ 179070 w 358140"/>
            <a:gd name="connsiteY2" fmla="*/ 0 h 342900"/>
            <a:gd name="connsiteX3" fmla="*/ 221342 w 358140"/>
            <a:gd name="connsiteY3" fmla="*/ 130977 h 342900"/>
            <a:gd name="connsiteX4" fmla="*/ 358140 w 358140"/>
            <a:gd name="connsiteY4" fmla="*/ 130976 h 342900"/>
            <a:gd name="connsiteX5" fmla="*/ 247467 w 358140"/>
            <a:gd name="connsiteY5" fmla="*/ 211923 h 342900"/>
            <a:gd name="connsiteX6" fmla="*/ 289741 w 358140"/>
            <a:gd name="connsiteY6" fmla="*/ 342899 h 342900"/>
            <a:gd name="connsiteX7" fmla="*/ 179070 w 358140"/>
            <a:gd name="connsiteY7" fmla="*/ 261950 h 342900"/>
            <a:gd name="connsiteX8" fmla="*/ 68399 w 358140"/>
            <a:gd name="connsiteY8" fmla="*/ 342899 h 342900"/>
            <a:gd name="connsiteX9" fmla="*/ 110673 w 358140"/>
            <a:gd name="connsiteY9" fmla="*/ 211923 h 342900"/>
            <a:gd name="connsiteX10" fmla="*/ 0 w 358140"/>
            <a:gd name="connsiteY10" fmla="*/ 130976 h 3429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</a:cxnLst>
          <a:rect l="l" t="t" r="r" b="b"/>
          <a:pathLst>
            <a:path w="358140" h="342900" extrusionOk="0">
              <a:moveTo>
                <a:pt x="0" y="130976"/>
              </a:moveTo>
              <a:cubicBezTo>
                <a:pt x="40654" y="133005"/>
                <a:pt x="88529" y="126795"/>
                <a:pt x="136798" y="130977"/>
              </a:cubicBezTo>
              <a:cubicBezTo>
                <a:pt x="161538" y="67960"/>
                <a:pt x="167485" y="40204"/>
                <a:pt x="179070" y="0"/>
              </a:cubicBezTo>
              <a:cubicBezTo>
                <a:pt x="184483" y="34928"/>
                <a:pt x="211475" y="78596"/>
                <a:pt x="221342" y="130977"/>
              </a:cubicBezTo>
              <a:cubicBezTo>
                <a:pt x="281953" y="131174"/>
                <a:pt x="305679" y="127049"/>
                <a:pt x="358140" y="130976"/>
              </a:cubicBezTo>
              <a:cubicBezTo>
                <a:pt x="313357" y="158449"/>
                <a:pt x="279158" y="181888"/>
                <a:pt x="247467" y="211923"/>
              </a:cubicBezTo>
              <a:cubicBezTo>
                <a:pt x="263632" y="254168"/>
                <a:pt x="278757" y="298322"/>
                <a:pt x="289741" y="342899"/>
              </a:cubicBezTo>
              <a:cubicBezTo>
                <a:pt x="237309" y="311258"/>
                <a:pt x="219956" y="283416"/>
                <a:pt x="179070" y="261950"/>
              </a:cubicBezTo>
              <a:cubicBezTo>
                <a:pt x="127061" y="298428"/>
                <a:pt x="101206" y="317339"/>
                <a:pt x="68399" y="342899"/>
              </a:cubicBezTo>
              <a:cubicBezTo>
                <a:pt x="71110" y="313602"/>
                <a:pt x="106453" y="242281"/>
                <a:pt x="110673" y="211923"/>
              </a:cubicBezTo>
              <a:cubicBezTo>
                <a:pt x="70065" y="176436"/>
                <a:pt x="28410" y="154560"/>
                <a:pt x="0" y="130976"/>
              </a:cubicBezTo>
              <a:close/>
            </a:path>
          </a:pathLst>
        </a:custGeom>
        <a:noFill/>
        <a:ln w="28575" cap="flat" cmpd="sng" algn="ctr">
          <a:solidFill>
            <a:schemeClr val="dk1"/>
          </a:solidFill>
          <a:prstDash val="solid"/>
          <a:round/>
          <a:headEnd type="none" w="med" len="med"/>
          <a:tailEnd type="none" w="med" len="med"/>
          <a:extLst>
            <a:ext uri="{C807C97D-BFC1-408E-A445-0C87EB9F89A2}">
              <ask:lineSketchStyleProps xmlns:ask="http://schemas.microsoft.com/office/drawing/2018/sketchyshapes" sd="3419786349">
                <a:prstGeom prst="star5">
                  <a:avLst/>
                </a:prstGeom>
                <ask:type>
                  <ask:lineSketchFreehand/>
                </ask:type>
              </ask:lineSketchStyleProps>
            </a:ext>
          </a:extLst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oneCell">
    <xdr:from>
      <xdr:col>9</xdr:col>
      <xdr:colOff>457199</xdr:colOff>
      <xdr:row>10</xdr:row>
      <xdr:rowOff>190500</xdr:rowOff>
    </xdr:from>
    <xdr:to>
      <xdr:col>17</xdr:col>
      <xdr:colOff>539868</xdr:colOff>
      <xdr:row>14</xdr:row>
      <xdr:rowOff>106680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2239" y="2400300"/>
          <a:ext cx="5447149" cy="800100"/>
        </a:xfrm>
        <a:prstGeom prst="rect">
          <a:avLst/>
        </a:prstGeom>
      </xdr:spPr>
    </xdr:pic>
    <xdr:clientData/>
  </xdr:twoCellAnchor>
  <xdr:twoCellAnchor>
    <xdr:from>
      <xdr:col>14</xdr:col>
      <xdr:colOff>426720</xdr:colOff>
      <xdr:row>5</xdr:row>
      <xdr:rowOff>121920</xdr:rowOff>
    </xdr:from>
    <xdr:to>
      <xdr:col>15</xdr:col>
      <xdr:colOff>533400</xdr:colOff>
      <xdr:row>10</xdr:row>
      <xdr:rowOff>152400</xdr:rowOff>
    </xdr:to>
    <xdr:cxnSp macro="">
      <xdr:nvCxnSpPr>
        <xdr:cNvPr id="7" name="연결선: 꺾임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CxnSpPr/>
      </xdr:nvCxnSpPr>
      <xdr:spPr>
        <a:xfrm rot="16200000" flipH="1">
          <a:off x="9635490" y="1405890"/>
          <a:ext cx="1135380" cy="777240"/>
        </a:xfrm>
        <a:prstGeom prst="bentConnector3">
          <a:avLst>
            <a:gd name="adj1" fmla="val -336"/>
          </a:avLst>
        </a:prstGeom>
        <a:ln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205740</xdr:colOff>
      <xdr:row>1</xdr:row>
      <xdr:rowOff>143780</xdr:rowOff>
    </xdr:from>
    <xdr:to>
      <xdr:col>14</xdr:col>
      <xdr:colOff>617220</xdr:colOff>
      <xdr:row>22</xdr:row>
      <xdr:rowOff>150250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D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420" y="364760"/>
          <a:ext cx="7787640" cy="4647050"/>
        </a:xfrm>
        <a:prstGeom prst="rect">
          <a:avLst/>
        </a:prstGeom>
      </xdr:spPr>
    </xdr:pic>
    <xdr:clientData/>
  </xdr:twoCellAnchor>
  <xdr:twoCellAnchor>
    <xdr:from>
      <xdr:col>2</xdr:col>
      <xdr:colOff>60960</xdr:colOff>
      <xdr:row>2</xdr:row>
      <xdr:rowOff>144780</xdr:rowOff>
    </xdr:from>
    <xdr:to>
      <xdr:col>4</xdr:col>
      <xdr:colOff>281940</xdr:colOff>
      <xdr:row>4</xdr:row>
      <xdr:rowOff>7620</xdr:rowOff>
    </xdr:to>
    <xdr:cxnSp macro="">
      <xdr:nvCxnSpPr>
        <xdr:cNvPr id="4" name="연결선: 꺾임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CxnSpPr/>
      </xdr:nvCxnSpPr>
      <xdr:spPr>
        <a:xfrm>
          <a:off x="1402080" y="586740"/>
          <a:ext cx="1562100" cy="304800"/>
        </a:xfrm>
        <a:prstGeom prst="bentConnector3">
          <a:avLst>
            <a:gd name="adj1" fmla="val 100244"/>
          </a:avLst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396240</xdr:colOff>
      <xdr:row>8</xdr:row>
      <xdr:rowOff>53340</xdr:rowOff>
    </xdr:from>
    <xdr:to>
      <xdr:col>17</xdr:col>
      <xdr:colOff>7620</xdr:colOff>
      <xdr:row>9</xdr:row>
      <xdr:rowOff>91440</xdr:rowOff>
    </xdr:to>
    <xdr:cxnSp macro="">
      <xdr:nvCxnSpPr>
        <xdr:cNvPr id="12" name="연결선: 꺾임 11">
          <a:extLst>
            <a:ext uri="{FF2B5EF4-FFF2-40B4-BE49-F238E27FC236}">
              <a16:creationId xmlns:a16="http://schemas.microsoft.com/office/drawing/2014/main" id="{00000000-0008-0000-0D00-00000C000000}"/>
            </a:ext>
          </a:extLst>
        </xdr:cNvPr>
        <xdr:cNvCxnSpPr/>
      </xdr:nvCxnSpPr>
      <xdr:spPr>
        <a:xfrm rot="10800000">
          <a:off x="7101840" y="1821180"/>
          <a:ext cx="4305300" cy="259080"/>
        </a:xfrm>
        <a:prstGeom prst="bentConnector3">
          <a:avLst>
            <a:gd name="adj1" fmla="val 100088"/>
          </a:avLst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236220</xdr:colOff>
      <xdr:row>11</xdr:row>
      <xdr:rowOff>68580</xdr:rowOff>
    </xdr:from>
    <xdr:to>
      <xdr:col>17</xdr:col>
      <xdr:colOff>7620</xdr:colOff>
      <xdr:row>16</xdr:row>
      <xdr:rowOff>152400</xdr:rowOff>
    </xdr:to>
    <xdr:cxnSp macro="">
      <xdr:nvCxnSpPr>
        <xdr:cNvPr id="21" name="연결선: 꺾임 20">
          <a:extLst>
            <a:ext uri="{FF2B5EF4-FFF2-40B4-BE49-F238E27FC236}">
              <a16:creationId xmlns:a16="http://schemas.microsoft.com/office/drawing/2014/main" id="{00000000-0008-0000-0D00-000015000000}"/>
            </a:ext>
          </a:extLst>
        </xdr:cNvPr>
        <xdr:cNvCxnSpPr/>
      </xdr:nvCxnSpPr>
      <xdr:spPr>
        <a:xfrm rot="10800000">
          <a:off x="8953500" y="2499360"/>
          <a:ext cx="2453640" cy="118872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30480</xdr:colOff>
      <xdr:row>11</xdr:row>
      <xdr:rowOff>30480</xdr:rowOff>
    </xdr:from>
    <xdr:to>
      <xdr:col>3</xdr:col>
      <xdr:colOff>441960</xdr:colOff>
      <xdr:row>12</xdr:row>
      <xdr:rowOff>114300</xdr:rowOff>
    </xdr:to>
    <xdr:cxnSp macro="">
      <xdr:nvCxnSpPr>
        <xdr:cNvPr id="29" name="연결선: 꺾임 28">
          <a:extLst>
            <a:ext uri="{FF2B5EF4-FFF2-40B4-BE49-F238E27FC236}">
              <a16:creationId xmlns:a16="http://schemas.microsoft.com/office/drawing/2014/main" id="{00000000-0008-0000-0D00-00001D000000}"/>
            </a:ext>
          </a:extLst>
        </xdr:cNvPr>
        <xdr:cNvCxnSpPr/>
      </xdr:nvCxnSpPr>
      <xdr:spPr>
        <a:xfrm flipV="1">
          <a:off x="1371600" y="2461260"/>
          <a:ext cx="1082040" cy="30480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22860</xdr:colOff>
      <xdr:row>0</xdr:row>
      <xdr:rowOff>129540</xdr:rowOff>
    </xdr:from>
    <xdr:to>
      <xdr:col>14</xdr:col>
      <xdr:colOff>632460</xdr:colOff>
      <xdr:row>8</xdr:row>
      <xdr:rowOff>213360</xdr:rowOff>
    </xdr:to>
    <xdr:cxnSp macro="">
      <xdr:nvCxnSpPr>
        <xdr:cNvPr id="34" name="연결선: 꺾임 33">
          <a:extLst>
            <a:ext uri="{FF2B5EF4-FFF2-40B4-BE49-F238E27FC236}">
              <a16:creationId xmlns:a16="http://schemas.microsoft.com/office/drawing/2014/main" id="{00000000-0008-0000-0D00-000022000000}"/>
            </a:ext>
          </a:extLst>
        </xdr:cNvPr>
        <xdr:cNvCxnSpPr/>
      </xdr:nvCxnSpPr>
      <xdr:spPr>
        <a:xfrm rot="10800000" flipV="1">
          <a:off x="5387340" y="129540"/>
          <a:ext cx="4632960" cy="1851660"/>
        </a:xfrm>
        <a:prstGeom prst="bentConnector3">
          <a:avLst>
            <a:gd name="adj1" fmla="val 100000"/>
          </a:avLst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53340</xdr:colOff>
      <xdr:row>7</xdr:row>
      <xdr:rowOff>114300</xdr:rowOff>
    </xdr:from>
    <xdr:to>
      <xdr:col>5</xdr:col>
      <xdr:colOff>30480</xdr:colOff>
      <xdr:row>9</xdr:row>
      <xdr:rowOff>114300</xdr:rowOff>
    </xdr:to>
    <xdr:cxnSp macro="">
      <xdr:nvCxnSpPr>
        <xdr:cNvPr id="44" name="연결선: 꺾임 43">
          <a:extLst>
            <a:ext uri="{FF2B5EF4-FFF2-40B4-BE49-F238E27FC236}">
              <a16:creationId xmlns:a16="http://schemas.microsoft.com/office/drawing/2014/main" id="{00000000-0008-0000-0D00-00002C000000}"/>
            </a:ext>
          </a:extLst>
        </xdr:cNvPr>
        <xdr:cNvCxnSpPr/>
      </xdr:nvCxnSpPr>
      <xdr:spPr>
        <a:xfrm>
          <a:off x="1394460" y="1661160"/>
          <a:ext cx="1988820" cy="441960"/>
        </a:xfrm>
        <a:prstGeom prst="bentConnector3">
          <a:avLst>
            <a:gd name="adj1" fmla="val 37356"/>
          </a:avLst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480060</xdr:colOff>
      <xdr:row>22</xdr:row>
      <xdr:rowOff>83820</xdr:rowOff>
    </xdr:from>
    <xdr:to>
      <xdr:col>6</xdr:col>
      <xdr:colOff>601980</xdr:colOff>
      <xdr:row>23</xdr:row>
      <xdr:rowOff>114300</xdr:rowOff>
    </xdr:to>
    <xdr:cxnSp macro="">
      <xdr:nvCxnSpPr>
        <xdr:cNvPr id="47" name="연결선: 꺾임 46">
          <a:extLst>
            <a:ext uri="{FF2B5EF4-FFF2-40B4-BE49-F238E27FC236}">
              <a16:creationId xmlns:a16="http://schemas.microsoft.com/office/drawing/2014/main" id="{00000000-0008-0000-0D00-00002F000000}"/>
            </a:ext>
          </a:extLst>
        </xdr:cNvPr>
        <xdr:cNvCxnSpPr/>
      </xdr:nvCxnSpPr>
      <xdr:spPr>
        <a:xfrm rot="10800000">
          <a:off x="3832860" y="4945380"/>
          <a:ext cx="792480" cy="251460"/>
        </a:xfrm>
        <a:prstGeom prst="bentConnector3">
          <a:avLst>
            <a:gd name="adj1" fmla="val 101923"/>
          </a:avLst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312420</xdr:colOff>
      <xdr:row>3</xdr:row>
      <xdr:rowOff>76200</xdr:rowOff>
    </xdr:from>
    <xdr:to>
      <xdr:col>16</xdr:col>
      <xdr:colOff>640080</xdr:colOff>
      <xdr:row>4</xdr:row>
      <xdr:rowOff>106680</xdr:rowOff>
    </xdr:to>
    <xdr:cxnSp macro="">
      <xdr:nvCxnSpPr>
        <xdr:cNvPr id="10" name="연결선: 꺾임 9">
          <a:extLst>
            <a:ext uri="{FF2B5EF4-FFF2-40B4-BE49-F238E27FC236}">
              <a16:creationId xmlns:a16="http://schemas.microsoft.com/office/drawing/2014/main" id="{9BBC6875-7ACE-4A29-9ECD-BD81091C28DE}"/>
            </a:ext>
          </a:extLst>
        </xdr:cNvPr>
        <xdr:cNvCxnSpPr/>
      </xdr:nvCxnSpPr>
      <xdr:spPr>
        <a:xfrm rot="10800000">
          <a:off x="9700260" y="739140"/>
          <a:ext cx="1668780" cy="251460"/>
        </a:xfrm>
        <a:prstGeom prst="bentConnector3">
          <a:avLst>
            <a:gd name="adj1" fmla="val 50000"/>
          </a:avLst>
        </a:prstGeom>
        <a:ln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A8EE0-5D79-4F89-9013-14AA83CAE419}">
  <sheetPr codeName="Sheet1"/>
  <dimension ref="A1:K16"/>
  <sheetViews>
    <sheetView zoomScale="115" zoomScaleNormal="115" workbookViewId="0">
      <selection activeCell="A19" sqref="A19"/>
    </sheetView>
  </sheetViews>
  <sheetFormatPr defaultRowHeight="17.399999999999999" x14ac:dyDescent="0.4"/>
  <sheetData>
    <row r="1" spans="1:11" ht="18" thickBot="1" x14ac:dyDescent="0.45">
      <c r="A1" s="3"/>
      <c r="B1" s="31" t="s">
        <v>1</v>
      </c>
      <c r="C1" s="32"/>
      <c r="D1" s="31" t="s">
        <v>3</v>
      </c>
      <c r="E1" s="32"/>
      <c r="F1" s="31" t="s">
        <v>5</v>
      </c>
      <c r="G1" s="32"/>
      <c r="H1" s="31" t="s">
        <v>7</v>
      </c>
      <c r="I1" s="32"/>
      <c r="J1" s="31" t="s">
        <v>9</v>
      </c>
      <c r="K1" s="32"/>
    </row>
    <row r="2" spans="1:11" x14ac:dyDescent="0.4">
      <c r="A2" s="10" t="s">
        <v>11</v>
      </c>
      <c r="B2" s="14" t="s">
        <v>57</v>
      </c>
      <c r="C2" s="13" t="s">
        <v>41</v>
      </c>
      <c r="D2" s="12" t="s">
        <v>57</v>
      </c>
      <c r="E2" s="13" t="s">
        <v>43</v>
      </c>
      <c r="F2" s="12" t="s">
        <v>44</v>
      </c>
      <c r="G2" s="13" t="s">
        <v>41</v>
      </c>
      <c r="H2" s="12" t="s">
        <v>44</v>
      </c>
      <c r="I2" s="13" t="s">
        <v>43</v>
      </c>
      <c r="J2" s="12" t="s">
        <v>46</v>
      </c>
      <c r="K2" s="13" t="s">
        <v>48</v>
      </c>
    </row>
    <row r="3" spans="1:11" x14ac:dyDescent="0.4">
      <c r="A3" s="16" t="s">
        <v>13</v>
      </c>
      <c r="B3" s="2" t="s">
        <v>57</v>
      </c>
      <c r="C3" s="6" t="s">
        <v>50</v>
      </c>
      <c r="D3" s="5" t="s">
        <v>52</v>
      </c>
      <c r="E3" s="6" t="s">
        <v>54</v>
      </c>
      <c r="F3" s="5" t="s">
        <v>46</v>
      </c>
      <c r="G3" s="6" t="s">
        <v>50</v>
      </c>
      <c r="H3" s="5" t="s">
        <v>44</v>
      </c>
      <c r="I3" s="6" t="s">
        <v>56</v>
      </c>
      <c r="J3" s="5" t="s">
        <v>58</v>
      </c>
      <c r="K3" s="6" t="s">
        <v>50</v>
      </c>
    </row>
    <row r="4" spans="1:11" x14ac:dyDescent="0.4">
      <c r="A4" s="16" t="s">
        <v>15</v>
      </c>
      <c r="B4" s="2" t="s">
        <v>50</v>
      </c>
      <c r="C4" s="6" t="s">
        <v>43</v>
      </c>
      <c r="D4" s="5" t="s">
        <v>60</v>
      </c>
      <c r="E4" s="6" t="s">
        <v>41</v>
      </c>
      <c r="F4" s="5" t="s">
        <v>56</v>
      </c>
      <c r="G4" s="6" t="s">
        <v>62</v>
      </c>
      <c r="H4" s="5" t="s">
        <v>56</v>
      </c>
      <c r="I4" s="6" t="s">
        <v>48</v>
      </c>
      <c r="J4" s="5" t="s">
        <v>54</v>
      </c>
      <c r="K4" s="6" t="s">
        <v>64</v>
      </c>
    </row>
    <row r="5" spans="1:11" x14ac:dyDescent="0.4">
      <c r="A5" s="16" t="s">
        <v>17</v>
      </c>
      <c r="B5" s="2" t="s">
        <v>60</v>
      </c>
      <c r="C5" s="6" t="s">
        <v>48</v>
      </c>
      <c r="D5" s="5" t="s">
        <v>66</v>
      </c>
      <c r="E5" s="6" t="s">
        <v>43</v>
      </c>
      <c r="F5" s="5" t="s">
        <v>56</v>
      </c>
      <c r="G5" s="6" t="s">
        <v>62</v>
      </c>
      <c r="H5" s="5" t="s">
        <v>50</v>
      </c>
      <c r="I5" s="6" t="s">
        <v>48</v>
      </c>
      <c r="J5" s="5" t="s">
        <v>60</v>
      </c>
      <c r="K5" s="6" t="s">
        <v>43</v>
      </c>
    </row>
    <row r="6" spans="1:11" x14ac:dyDescent="0.4">
      <c r="A6" s="16" t="s">
        <v>19</v>
      </c>
      <c r="B6" s="2" t="s">
        <v>54</v>
      </c>
      <c r="C6" s="6" t="s">
        <v>62</v>
      </c>
      <c r="D6" s="5" t="s">
        <v>54</v>
      </c>
      <c r="E6" s="6" t="s">
        <v>41</v>
      </c>
      <c r="F6" s="5" t="s">
        <v>56</v>
      </c>
      <c r="G6" s="6" t="s">
        <v>41</v>
      </c>
      <c r="H6" s="5" t="s">
        <v>56</v>
      </c>
      <c r="I6" s="6" t="s">
        <v>43</v>
      </c>
      <c r="J6" s="5" t="s">
        <v>66</v>
      </c>
      <c r="K6" s="6" t="s">
        <v>62</v>
      </c>
    </row>
    <row r="7" spans="1:11" x14ac:dyDescent="0.4">
      <c r="A7" s="16" t="s">
        <v>21</v>
      </c>
      <c r="B7" s="2" t="s">
        <v>52</v>
      </c>
      <c r="C7" s="6" t="s">
        <v>62</v>
      </c>
      <c r="D7" s="5" t="s">
        <v>68</v>
      </c>
      <c r="E7" s="6" t="s">
        <v>64</v>
      </c>
      <c r="F7" s="5" t="s">
        <v>52</v>
      </c>
      <c r="G7" s="6" t="s">
        <v>43</v>
      </c>
      <c r="H7" s="5" t="s">
        <v>66</v>
      </c>
      <c r="I7" s="6" t="s">
        <v>43</v>
      </c>
      <c r="J7" s="5" t="s">
        <v>52</v>
      </c>
      <c r="K7" s="6" t="s">
        <v>41</v>
      </c>
    </row>
    <row r="8" spans="1:11" x14ac:dyDescent="0.4">
      <c r="A8" s="16" t="s">
        <v>23</v>
      </c>
      <c r="B8" s="2" t="s">
        <v>52</v>
      </c>
      <c r="C8" s="6" t="s">
        <v>60</v>
      </c>
      <c r="D8" s="5" t="s">
        <v>57</v>
      </c>
      <c r="E8" s="6" t="s">
        <v>60</v>
      </c>
      <c r="F8" s="5" t="s">
        <v>57</v>
      </c>
      <c r="G8" s="6" t="s">
        <v>54</v>
      </c>
      <c r="H8" s="5" t="s">
        <v>50</v>
      </c>
      <c r="I8" s="6" t="s">
        <v>48</v>
      </c>
      <c r="J8" s="5" t="s">
        <v>68</v>
      </c>
      <c r="K8" s="6" t="s">
        <v>60</v>
      </c>
    </row>
    <row r="9" spans="1:11" x14ac:dyDescent="0.4">
      <c r="A9" s="16" t="s">
        <v>25</v>
      </c>
      <c r="B9" s="2" t="s">
        <v>54</v>
      </c>
      <c r="C9" s="6" t="s">
        <v>48</v>
      </c>
      <c r="D9" s="5" t="s">
        <v>54</v>
      </c>
      <c r="E9" s="6" t="s">
        <v>64</v>
      </c>
      <c r="F9" s="5" t="s">
        <v>56</v>
      </c>
      <c r="G9" s="6" t="s">
        <v>43</v>
      </c>
      <c r="H9" s="5" t="s">
        <v>54</v>
      </c>
      <c r="I9" s="6" t="s">
        <v>43</v>
      </c>
      <c r="J9" s="5" t="s">
        <v>50</v>
      </c>
      <c r="K9" s="6" t="s">
        <v>64</v>
      </c>
    </row>
    <row r="10" spans="1:11" x14ac:dyDescent="0.4">
      <c r="A10" s="16" t="s">
        <v>27</v>
      </c>
      <c r="B10" s="2" t="s">
        <v>68</v>
      </c>
      <c r="C10" s="6" t="s">
        <v>62</v>
      </c>
      <c r="D10" s="5" t="s">
        <v>44</v>
      </c>
      <c r="E10" s="6" t="s">
        <v>64</v>
      </c>
      <c r="F10" s="5" t="s">
        <v>58</v>
      </c>
      <c r="G10" s="6" t="s">
        <v>48</v>
      </c>
      <c r="H10" s="5" t="s">
        <v>58</v>
      </c>
      <c r="I10" s="6" t="s">
        <v>43</v>
      </c>
      <c r="J10" s="5" t="s">
        <v>58</v>
      </c>
      <c r="K10" s="6" t="s">
        <v>64</v>
      </c>
    </row>
    <row r="11" spans="1:11" x14ac:dyDescent="0.4">
      <c r="A11" s="16" t="s">
        <v>29</v>
      </c>
      <c r="B11" s="2" t="s">
        <v>44</v>
      </c>
      <c r="C11" s="6" t="s">
        <v>50</v>
      </c>
      <c r="D11" s="5" t="s">
        <v>44</v>
      </c>
      <c r="E11" s="6" t="s">
        <v>56</v>
      </c>
      <c r="F11" s="5" t="s">
        <v>68</v>
      </c>
      <c r="G11" s="6" t="s">
        <v>54</v>
      </c>
      <c r="H11" s="5" t="s">
        <v>52</v>
      </c>
      <c r="I11" s="6" t="s">
        <v>56</v>
      </c>
      <c r="J11" s="5" t="s">
        <v>46</v>
      </c>
      <c r="K11" s="6" t="s">
        <v>50</v>
      </c>
    </row>
    <row r="12" spans="1:11" x14ac:dyDescent="0.4">
      <c r="A12" s="16" t="s">
        <v>31</v>
      </c>
      <c r="B12" s="2" t="s">
        <v>60</v>
      </c>
      <c r="C12" s="6" t="s">
        <v>62</v>
      </c>
      <c r="D12" s="5" t="s">
        <v>69</v>
      </c>
      <c r="E12" s="6" t="s">
        <v>62</v>
      </c>
      <c r="F12" s="5" t="s">
        <v>60</v>
      </c>
      <c r="G12" s="6" t="s">
        <v>41</v>
      </c>
      <c r="H12" s="5" t="s">
        <v>50</v>
      </c>
      <c r="I12" s="6" t="s">
        <v>41</v>
      </c>
      <c r="J12" s="5" t="s">
        <v>50</v>
      </c>
      <c r="K12" s="6" t="s">
        <v>43</v>
      </c>
    </row>
    <row r="13" spans="1:11" x14ac:dyDescent="0.4">
      <c r="A13" s="16" t="s">
        <v>33</v>
      </c>
      <c r="B13" s="2" t="s">
        <v>68</v>
      </c>
      <c r="C13" s="6" t="s">
        <v>41</v>
      </c>
      <c r="D13" s="5" t="s">
        <v>46</v>
      </c>
      <c r="E13" s="6" t="s">
        <v>64</v>
      </c>
      <c r="F13" s="5" t="s">
        <v>58</v>
      </c>
      <c r="G13" s="6" t="s">
        <v>43</v>
      </c>
      <c r="H13" s="5" t="s">
        <v>46</v>
      </c>
      <c r="I13" s="6" t="s">
        <v>64</v>
      </c>
      <c r="J13" s="5" t="s">
        <v>52</v>
      </c>
      <c r="K13" s="6" t="s">
        <v>43</v>
      </c>
    </row>
    <row r="14" spans="1:11" x14ac:dyDescent="0.4">
      <c r="A14" s="16" t="s">
        <v>35</v>
      </c>
      <c r="B14" s="2" t="s">
        <v>52</v>
      </c>
      <c r="C14" s="6" t="s">
        <v>50</v>
      </c>
      <c r="D14" s="5" t="s">
        <v>58</v>
      </c>
      <c r="E14" s="6" t="s">
        <v>50</v>
      </c>
      <c r="F14" s="5" t="s">
        <v>68</v>
      </c>
      <c r="G14" s="6" t="s">
        <v>60</v>
      </c>
      <c r="H14" s="5" t="s">
        <v>44</v>
      </c>
      <c r="I14" s="6" t="s">
        <v>56</v>
      </c>
      <c r="J14" s="5" t="s">
        <v>58</v>
      </c>
      <c r="K14" s="6" t="s">
        <v>54</v>
      </c>
    </row>
    <row r="15" spans="1:11" x14ac:dyDescent="0.4">
      <c r="A15" s="16" t="s">
        <v>37</v>
      </c>
      <c r="B15" s="2" t="s">
        <v>44</v>
      </c>
      <c r="C15" s="6" t="s">
        <v>43</v>
      </c>
      <c r="D15" s="5" t="s">
        <v>68</v>
      </c>
      <c r="E15" s="6" t="s">
        <v>48</v>
      </c>
      <c r="F15" s="5" t="s">
        <v>46</v>
      </c>
      <c r="G15" s="6" t="s">
        <v>41</v>
      </c>
      <c r="H15" s="5" t="s">
        <v>52</v>
      </c>
      <c r="I15" s="6" t="s">
        <v>43</v>
      </c>
      <c r="J15" s="5" t="s">
        <v>44</v>
      </c>
      <c r="K15" s="6" t="s">
        <v>62</v>
      </c>
    </row>
    <row r="16" spans="1:11" ht="18" thickBot="1" x14ac:dyDescent="0.45">
      <c r="A16" s="11" t="s">
        <v>39</v>
      </c>
      <c r="B16" s="15" t="s">
        <v>44</v>
      </c>
      <c r="C16" s="8" t="s">
        <v>60</v>
      </c>
      <c r="D16" s="7" t="s">
        <v>52</v>
      </c>
      <c r="E16" s="8" t="s">
        <v>66</v>
      </c>
      <c r="F16" s="7" t="s">
        <v>68</v>
      </c>
      <c r="G16" s="8" t="s">
        <v>66</v>
      </c>
      <c r="H16" s="7" t="s">
        <v>68</v>
      </c>
      <c r="I16" s="8" t="s">
        <v>50</v>
      </c>
      <c r="J16" s="7" t="s">
        <v>46</v>
      </c>
      <c r="K16" s="8" t="s">
        <v>60</v>
      </c>
    </row>
  </sheetData>
  <mergeCells count="5">
    <mergeCell ref="J1:K1"/>
    <mergeCell ref="H1:I1"/>
    <mergeCell ref="F1:G1"/>
    <mergeCell ref="D1:E1"/>
    <mergeCell ref="B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940FC-CD79-455C-923F-C2752EDD8C87}">
  <sheetPr codeName="Sheet2"/>
  <dimension ref="A1:G5"/>
  <sheetViews>
    <sheetView workbookViewId="0">
      <selection activeCell="B14" sqref="B14"/>
    </sheetView>
  </sheetViews>
  <sheetFormatPr defaultRowHeight="17.399999999999999" x14ac:dyDescent="0.4"/>
  <sheetData>
    <row r="1" spans="1:7" ht="18" thickBot="1" x14ac:dyDescent="0.45">
      <c r="A1" s="3"/>
      <c r="B1" s="31" t="s">
        <v>79</v>
      </c>
      <c r="C1" s="32"/>
      <c r="D1" s="31" t="s">
        <v>81</v>
      </c>
      <c r="E1" s="32"/>
      <c r="F1" s="31" t="s">
        <v>83</v>
      </c>
      <c r="G1" s="32"/>
    </row>
    <row r="2" spans="1:7" x14ac:dyDescent="0.4">
      <c r="A2" s="10" t="s">
        <v>71</v>
      </c>
      <c r="B2" s="14" t="s">
        <v>68</v>
      </c>
      <c r="C2" s="13" t="s">
        <v>62</v>
      </c>
      <c r="D2" s="12" t="s">
        <v>44</v>
      </c>
      <c r="E2" s="13" t="s">
        <v>62</v>
      </c>
      <c r="F2" s="12" t="s">
        <v>58</v>
      </c>
      <c r="G2" s="13" t="s">
        <v>43</v>
      </c>
    </row>
    <row r="3" spans="1:7" x14ac:dyDescent="0.4">
      <c r="A3" s="16" t="s">
        <v>73</v>
      </c>
      <c r="B3" s="2" t="s">
        <v>60</v>
      </c>
      <c r="C3" s="6" t="s">
        <v>43</v>
      </c>
      <c r="D3" s="5" t="s">
        <v>54</v>
      </c>
      <c r="E3" s="6" t="s">
        <v>41</v>
      </c>
      <c r="F3" s="5" t="s">
        <v>66</v>
      </c>
      <c r="G3" s="6" t="s">
        <v>64</v>
      </c>
    </row>
    <row r="4" spans="1:7" x14ac:dyDescent="0.4">
      <c r="A4" s="16" t="s">
        <v>75</v>
      </c>
      <c r="B4" s="2" t="s">
        <v>60</v>
      </c>
      <c r="C4" s="6" t="s">
        <v>64</v>
      </c>
      <c r="D4" s="5" t="s">
        <v>56</v>
      </c>
      <c r="E4" s="6" t="s">
        <v>62</v>
      </c>
      <c r="F4" s="5" t="s">
        <v>66</v>
      </c>
      <c r="G4" s="6" t="s">
        <v>48</v>
      </c>
    </row>
    <row r="5" spans="1:7" ht="18" thickBot="1" x14ac:dyDescent="0.45">
      <c r="A5" s="11" t="s">
        <v>77</v>
      </c>
      <c r="B5" s="15" t="s">
        <v>68</v>
      </c>
      <c r="C5" s="8" t="s">
        <v>66</v>
      </c>
      <c r="D5" s="7" t="s">
        <v>44</v>
      </c>
      <c r="E5" s="8" t="s">
        <v>56</v>
      </c>
      <c r="F5" s="7" t="s">
        <v>44</v>
      </c>
      <c r="G5" s="8" t="s">
        <v>56</v>
      </c>
    </row>
  </sheetData>
  <mergeCells count="3">
    <mergeCell ref="B1:C1"/>
    <mergeCell ref="D1:E1"/>
    <mergeCell ref="F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11941D-4479-4B1D-AD88-148703F7BC00}">
  <sheetPr codeName="Sheet3"/>
  <dimension ref="A1:G5"/>
  <sheetViews>
    <sheetView workbookViewId="0">
      <selection activeCell="D18" sqref="D18"/>
    </sheetView>
  </sheetViews>
  <sheetFormatPr defaultRowHeight="17.399999999999999" x14ac:dyDescent="0.4"/>
  <sheetData>
    <row r="1" spans="1:7" ht="18" thickBot="1" x14ac:dyDescent="0.45">
      <c r="A1" s="3"/>
      <c r="B1" s="31" t="s">
        <v>85</v>
      </c>
      <c r="C1" s="32"/>
      <c r="D1" s="31" t="s">
        <v>87</v>
      </c>
      <c r="E1" s="32"/>
      <c r="F1" s="31" t="s">
        <v>89</v>
      </c>
      <c r="G1" s="32"/>
    </row>
    <row r="2" spans="1:7" x14ac:dyDescent="0.4">
      <c r="A2" s="10" t="s">
        <v>91</v>
      </c>
      <c r="B2" s="14" t="s">
        <v>46</v>
      </c>
      <c r="C2" s="13" t="s">
        <v>64</v>
      </c>
      <c r="D2" s="12" t="s">
        <v>68</v>
      </c>
      <c r="E2" s="13" t="s">
        <v>66</v>
      </c>
      <c r="F2" s="12" t="s">
        <v>44</v>
      </c>
      <c r="G2" s="13" t="s">
        <v>48</v>
      </c>
    </row>
    <row r="3" spans="1:7" x14ac:dyDescent="0.4">
      <c r="A3" s="16" t="s">
        <v>93</v>
      </c>
      <c r="B3" s="2" t="s">
        <v>60</v>
      </c>
      <c r="C3" s="6" t="s">
        <v>64</v>
      </c>
      <c r="D3" s="5" t="s">
        <v>54</v>
      </c>
      <c r="E3" s="6" t="s">
        <v>41</v>
      </c>
      <c r="F3" s="5" t="s">
        <v>50</v>
      </c>
      <c r="G3" s="6" t="s">
        <v>48</v>
      </c>
    </row>
    <row r="4" spans="1:7" x14ac:dyDescent="0.4">
      <c r="A4" s="16" t="s">
        <v>95</v>
      </c>
      <c r="B4" s="2" t="s">
        <v>52</v>
      </c>
      <c r="C4" s="6" t="s">
        <v>54</v>
      </c>
      <c r="D4" s="5" t="s">
        <v>58</v>
      </c>
      <c r="E4" s="6" t="s">
        <v>56</v>
      </c>
      <c r="F4" s="5" t="s">
        <v>52</v>
      </c>
      <c r="G4" s="6" t="s">
        <v>54</v>
      </c>
    </row>
    <row r="5" spans="1:7" ht="18" thickBot="1" x14ac:dyDescent="0.45">
      <c r="A5" s="11" t="s">
        <v>97</v>
      </c>
      <c r="B5" s="15" t="s">
        <v>58</v>
      </c>
      <c r="C5" s="8" t="s">
        <v>64</v>
      </c>
      <c r="D5" s="7" t="s">
        <v>58</v>
      </c>
      <c r="E5" s="8" t="s">
        <v>48</v>
      </c>
      <c r="F5" s="7" t="s">
        <v>46</v>
      </c>
      <c r="G5" s="8" t="s">
        <v>48</v>
      </c>
    </row>
  </sheetData>
  <mergeCells count="3">
    <mergeCell ref="B1:C1"/>
    <mergeCell ref="D1:E1"/>
    <mergeCell ref="F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6E41F-AE5A-4191-96B4-98E5DF9BD827}">
  <sheetPr codeName="Sheet4"/>
  <dimension ref="A1:G5"/>
  <sheetViews>
    <sheetView workbookViewId="0">
      <selection activeCell="A21" sqref="A21"/>
    </sheetView>
  </sheetViews>
  <sheetFormatPr defaultRowHeight="17.399999999999999" x14ac:dyDescent="0.4"/>
  <sheetData>
    <row r="1" spans="1:7" ht="18" thickBot="1" x14ac:dyDescent="0.45">
      <c r="A1" s="3"/>
      <c r="B1" s="31" t="s">
        <v>1</v>
      </c>
      <c r="C1" s="32"/>
      <c r="D1" s="31" t="s">
        <v>79</v>
      </c>
      <c r="E1" s="32"/>
      <c r="F1" s="31" t="s">
        <v>85</v>
      </c>
      <c r="G1" s="32"/>
    </row>
    <row r="2" spans="1:7" x14ac:dyDescent="0.4">
      <c r="A2" s="10" t="s">
        <v>99</v>
      </c>
      <c r="B2" s="14" t="s">
        <v>46</v>
      </c>
      <c r="C2" s="13" t="s">
        <v>64</v>
      </c>
      <c r="D2" s="12" t="s">
        <v>52</v>
      </c>
      <c r="E2" s="13" t="s">
        <v>41</v>
      </c>
      <c r="F2" s="12" t="s">
        <v>44</v>
      </c>
      <c r="G2" s="13" t="s">
        <v>62</v>
      </c>
    </row>
    <row r="3" spans="1:7" x14ac:dyDescent="0.4">
      <c r="A3" s="16" t="s">
        <v>101</v>
      </c>
      <c r="B3" s="2" t="s">
        <v>66</v>
      </c>
      <c r="C3" s="6" t="s">
        <v>62</v>
      </c>
      <c r="D3" s="5" t="s">
        <v>66</v>
      </c>
      <c r="E3" s="6" t="s">
        <v>48</v>
      </c>
      <c r="F3" s="5" t="s">
        <v>50</v>
      </c>
      <c r="G3" s="6" t="s">
        <v>64</v>
      </c>
    </row>
    <row r="4" spans="1:7" x14ac:dyDescent="0.4">
      <c r="A4" s="16" t="s">
        <v>103</v>
      </c>
      <c r="B4" s="2" t="s">
        <v>58</v>
      </c>
      <c r="C4" s="6" t="s">
        <v>54</v>
      </c>
      <c r="D4" s="5" t="s">
        <v>68</v>
      </c>
      <c r="E4" s="6" t="s">
        <v>50</v>
      </c>
      <c r="F4" s="5" t="s">
        <v>46</v>
      </c>
      <c r="G4" s="6" t="s">
        <v>54</v>
      </c>
    </row>
    <row r="5" spans="1:7" ht="18" thickBot="1" x14ac:dyDescent="0.45">
      <c r="A5" s="11" t="s">
        <v>105</v>
      </c>
      <c r="B5" s="15" t="s">
        <v>68</v>
      </c>
      <c r="C5" s="8" t="s">
        <v>66</v>
      </c>
      <c r="D5" s="7" t="s">
        <v>46</v>
      </c>
      <c r="E5" s="8" t="s">
        <v>60</v>
      </c>
      <c r="F5" s="7" t="s">
        <v>46</v>
      </c>
      <c r="G5" s="8" t="s">
        <v>66</v>
      </c>
    </row>
  </sheetData>
  <mergeCells count="3">
    <mergeCell ref="B1:C1"/>
    <mergeCell ref="D1:E1"/>
    <mergeCell ref="F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51F311-C070-4889-9540-4C65FA9DFB93}">
  <sheetPr codeName="Sheet5"/>
  <dimension ref="A1:G5"/>
  <sheetViews>
    <sheetView workbookViewId="0">
      <selection activeCell="A22" sqref="A22"/>
    </sheetView>
  </sheetViews>
  <sheetFormatPr defaultRowHeight="17.399999999999999" x14ac:dyDescent="0.4"/>
  <sheetData>
    <row r="1" spans="1:7" ht="18" thickBot="1" x14ac:dyDescent="0.45">
      <c r="A1" s="3"/>
      <c r="B1" s="31" t="s">
        <v>3</v>
      </c>
      <c r="C1" s="32"/>
      <c r="D1" s="31" t="s">
        <v>81</v>
      </c>
      <c r="E1" s="32"/>
      <c r="F1" s="31" t="s">
        <v>87</v>
      </c>
      <c r="G1" s="32"/>
    </row>
    <row r="2" spans="1:7" x14ac:dyDescent="0.4">
      <c r="A2" s="10" t="s">
        <v>107</v>
      </c>
      <c r="B2" s="14" t="s">
        <v>68</v>
      </c>
      <c r="C2" s="13" t="s">
        <v>66</v>
      </c>
      <c r="D2" s="12" t="s">
        <v>46</v>
      </c>
      <c r="E2" s="13" t="s">
        <v>54</v>
      </c>
      <c r="F2" s="12" t="s">
        <v>44</v>
      </c>
      <c r="G2" s="13" t="s">
        <v>41</v>
      </c>
    </row>
    <row r="3" spans="1:7" x14ac:dyDescent="0.4">
      <c r="A3" s="16" t="s">
        <v>109</v>
      </c>
      <c r="B3" s="2" t="s">
        <v>44</v>
      </c>
      <c r="C3" s="6" t="s">
        <v>62</v>
      </c>
      <c r="D3" s="5" t="s">
        <v>68</v>
      </c>
      <c r="E3" s="6" t="s">
        <v>64</v>
      </c>
      <c r="F3" s="5" t="s">
        <v>46</v>
      </c>
      <c r="G3" s="6" t="s">
        <v>48</v>
      </c>
    </row>
    <row r="4" spans="1:7" x14ac:dyDescent="0.4">
      <c r="A4" s="16" t="s">
        <v>111</v>
      </c>
      <c r="B4" s="2" t="s">
        <v>68</v>
      </c>
      <c r="C4" s="6" t="s">
        <v>62</v>
      </c>
      <c r="D4" s="5" t="s">
        <v>68</v>
      </c>
      <c r="E4" s="6" t="s">
        <v>41</v>
      </c>
      <c r="F4" s="5" t="s">
        <v>52</v>
      </c>
      <c r="G4" s="6" t="s">
        <v>48</v>
      </c>
    </row>
    <row r="5" spans="1:7" ht="18" thickBot="1" x14ac:dyDescent="0.45">
      <c r="A5" s="11" t="s">
        <v>113</v>
      </c>
      <c r="B5" s="15" t="s">
        <v>56</v>
      </c>
      <c r="C5" s="8" t="s">
        <v>41</v>
      </c>
      <c r="D5" s="7" t="s">
        <v>66</v>
      </c>
      <c r="E5" s="8" t="s">
        <v>62</v>
      </c>
      <c r="F5" s="7" t="s">
        <v>50</v>
      </c>
      <c r="G5" s="8" t="s">
        <v>48</v>
      </c>
    </row>
  </sheetData>
  <mergeCells count="3">
    <mergeCell ref="B1:C1"/>
    <mergeCell ref="D1:E1"/>
    <mergeCell ref="F1:G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99EEF-F303-480D-8A67-591A76596EA0}">
  <sheetPr codeName="Sheet6"/>
  <dimension ref="A1:G5"/>
  <sheetViews>
    <sheetView workbookViewId="0">
      <selection activeCell="A2" sqref="A2:G5"/>
    </sheetView>
  </sheetViews>
  <sheetFormatPr defaultRowHeight="17.399999999999999" x14ac:dyDescent="0.4"/>
  <sheetData>
    <row r="1" spans="1:7" ht="18" thickBot="1" x14ac:dyDescent="0.45">
      <c r="A1" s="3"/>
      <c r="B1" s="31" t="s">
        <v>9</v>
      </c>
      <c r="C1" s="32"/>
      <c r="D1" s="31" t="s">
        <v>83</v>
      </c>
      <c r="E1" s="32"/>
      <c r="F1" s="31" t="s">
        <v>89</v>
      </c>
      <c r="G1" s="32"/>
    </row>
    <row r="2" spans="1:7" x14ac:dyDescent="0.4">
      <c r="A2" s="10" t="s">
        <v>115</v>
      </c>
      <c r="B2" s="14" t="s">
        <v>56</v>
      </c>
      <c r="C2" s="13" t="s">
        <v>64</v>
      </c>
      <c r="D2" s="12" t="s">
        <v>54</v>
      </c>
      <c r="E2" s="13" t="s">
        <v>41</v>
      </c>
      <c r="F2" s="12" t="s">
        <v>60</v>
      </c>
      <c r="G2" s="13" t="s">
        <v>64</v>
      </c>
    </row>
    <row r="3" spans="1:7" x14ac:dyDescent="0.4">
      <c r="A3" s="16" t="s">
        <v>117</v>
      </c>
      <c r="B3" s="2" t="s">
        <v>58</v>
      </c>
      <c r="C3" s="6" t="s">
        <v>66</v>
      </c>
      <c r="D3" s="5" t="s">
        <v>44</v>
      </c>
      <c r="E3" s="6" t="s">
        <v>56</v>
      </c>
      <c r="F3" s="5" t="s">
        <v>52</v>
      </c>
      <c r="G3" s="6" t="s">
        <v>60</v>
      </c>
    </row>
    <row r="4" spans="1:7" x14ac:dyDescent="0.4">
      <c r="A4" s="16" t="s">
        <v>119</v>
      </c>
      <c r="B4" s="2" t="s">
        <v>46</v>
      </c>
      <c r="C4" s="6" t="s">
        <v>66</v>
      </c>
      <c r="D4" s="5" t="s">
        <v>52</v>
      </c>
      <c r="E4" s="6" t="s">
        <v>66</v>
      </c>
      <c r="F4" s="5" t="s">
        <v>46</v>
      </c>
      <c r="G4" s="6" t="s">
        <v>56</v>
      </c>
    </row>
    <row r="5" spans="1:7" ht="18" thickBot="1" x14ac:dyDescent="0.45">
      <c r="A5" s="11" t="s">
        <v>121</v>
      </c>
      <c r="B5" s="15" t="s">
        <v>46</v>
      </c>
      <c r="C5" s="8" t="s">
        <v>41</v>
      </c>
      <c r="D5" s="7" t="s">
        <v>52</v>
      </c>
      <c r="E5" s="8" t="s">
        <v>62</v>
      </c>
      <c r="F5" s="7" t="s">
        <v>52</v>
      </c>
      <c r="G5" s="8" t="s">
        <v>48</v>
      </c>
    </row>
  </sheetData>
  <mergeCells count="3">
    <mergeCell ref="B1:C1"/>
    <mergeCell ref="D1:E1"/>
    <mergeCell ref="F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E9769-37CE-43AE-B05A-0C7648E435BC}">
  <sheetPr codeName="Sheet7"/>
  <dimension ref="A1:W36"/>
  <sheetViews>
    <sheetView workbookViewId="0">
      <selection activeCell="G21" sqref="G21"/>
    </sheetView>
  </sheetViews>
  <sheetFormatPr defaultRowHeight="17.399999999999999" x14ac:dyDescent="0.4"/>
  <sheetData>
    <row r="1" spans="1:23" ht="18" thickBot="1" x14ac:dyDescent="0.45">
      <c r="A1" s="3"/>
      <c r="B1" s="22" t="s">
        <v>1</v>
      </c>
      <c r="C1" s="22" t="s">
        <v>1</v>
      </c>
      <c r="D1" s="22" t="s">
        <v>3</v>
      </c>
      <c r="E1" s="22" t="s">
        <v>3</v>
      </c>
      <c r="F1" s="22" t="s">
        <v>5</v>
      </c>
      <c r="G1" s="22" t="s">
        <v>5</v>
      </c>
      <c r="H1" s="22" t="s">
        <v>7</v>
      </c>
      <c r="I1" s="22" t="s">
        <v>7</v>
      </c>
      <c r="J1" s="22" t="s">
        <v>9</v>
      </c>
      <c r="K1" s="22" t="s">
        <v>9</v>
      </c>
      <c r="L1" s="20" t="s">
        <v>79</v>
      </c>
      <c r="M1" s="20" t="s">
        <v>79</v>
      </c>
      <c r="N1" s="20" t="s">
        <v>81</v>
      </c>
      <c r="O1" s="20" t="s">
        <v>81</v>
      </c>
      <c r="P1" s="20" t="s">
        <v>83</v>
      </c>
      <c r="Q1" s="20" t="s">
        <v>83</v>
      </c>
      <c r="R1" s="20" t="s">
        <v>85</v>
      </c>
      <c r="S1" s="20" t="s">
        <v>85</v>
      </c>
      <c r="T1" s="20" t="s">
        <v>87</v>
      </c>
      <c r="U1" s="20" t="s">
        <v>87</v>
      </c>
      <c r="V1" s="20" t="s">
        <v>89</v>
      </c>
      <c r="W1" s="20" t="s">
        <v>89</v>
      </c>
    </row>
    <row r="2" spans="1:23" x14ac:dyDescent="0.4">
      <c r="A2" s="10" t="s">
        <v>11</v>
      </c>
      <c r="B2" s="14" t="s">
        <v>57</v>
      </c>
      <c r="C2" s="13" t="s">
        <v>41</v>
      </c>
      <c r="D2" s="12" t="s">
        <v>57</v>
      </c>
      <c r="E2" s="13" t="s">
        <v>43</v>
      </c>
      <c r="F2" s="12" t="s">
        <v>44</v>
      </c>
      <c r="G2" s="13" t="s">
        <v>41</v>
      </c>
      <c r="H2" s="12" t="s">
        <v>44</v>
      </c>
      <c r="I2" s="13" t="s">
        <v>43</v>
      </c>
      <c r="J2" s="12" t="s">
        <v>46</v>
      </c>
      <c r="K2" s="13" t="s">
        <v>48</v>
      </c>
    </row>
    <row r="3" spans="1:23" x14ac:dyDescent="0.4">
      <c r="A3" s="16" t="s">
        <v>13</v>
      </c>
      <c r="B3" s="2" t="s">
        <v>57</v>
      </c>
      <c r="C3" s="6" t="s">
        <v>50</v>
      </c>
      <c r="D3" s="5" t="s">
        <v>52</v>
      </c>
      <c r="E3" s="6" t="s">
        <v>54</v>
      </c>
      <c r="F3" s="5" t="s">
        <v>46</v>
      </c>
      <c r="G3" s="6" t="s">
        <v>50</v>
      </c>
      <c r="H3" s="5" t="s">
        <v>44</v>
      </c>
      <c r="I3" s="6" t="s">
        <v>56</v>
      </c>
      <c r="J3" s="5" t="s">
        <v>58</v>
      </c>
      <c r="K3" s="6" t="s">
        <v>50</v>
      </c>
    </row>
    <row r="4" spans="1:23" x14ac:dyDescent="0.4">
      <c r="A4" s="16" t="s">
        <v>15</v>
      </c>
      <c r="B4" s="2" t="s">
        <v>50</v>
      </c>
      <c r="C4" s="6" t="s">
        <v>43</v>
      </c>
      <c r="D4" s="5" t="s">
        <v>60</v>
      </c>
      <c r="E4" s="6" t="s">
        <v>41</v>
      </c>
      <c r="F4" s="5" t="s">
        <v>56</v>
      </c>
      <c r="G4" s="6" t="s">
        <v>62</v>
      </c>
      <c r="H4" s="5" t="s">
        <v>56</v>
      </c>
      <c r="I4" s="6" t="s">
        <v>48</v>
      </c>
      <c r="J4" s="5" t="s">
        <v>54</v>
      </c>
      <c r="K4" s="6" t="s">
        <v>64</v>
      </c>
    </row>
    <row r="5" spans="1:23" x14ac:dyDescent="0.4">
      <c r="A5" s="16" t="s">
        <v>17</v>
      </c>
      <c r="B5" s="2" t="s">
        <v>60</v>
      </c>
      <c r="C5" s="6" t="s">
        <v>48</v>
      </c>
      <c r="D5" s="5" t="s">
        <v>66</v>
      </c>
      <c r="E5" s="6" t="s">
        <v>43</v>
      </c>
      <c r="F5" s="5" t="s">
        <v>56</v>
      </c>
      <c r="G5" s="6" t="s">
        <v>62</v>
      </c>
      <c r="H5" s="5" t="s">
        <v>50</v>
      </c>
      <c r="I5" s="6" t="s">
        <v>48</v>
      </c>
      <c r="J5" s="5" t="s">
        <v>60</v>
      </c>
      <c r="K5" s="6" t="s">
        <v>43</v>
      </c>
    </row>
    <row r="6" spans="1:23" x14ac:dyDescent="0.4">
      <c r="A6" s="16" t="s">
        <v>19</v>
      </c>
      <c r="B6" s="2" t="s">
        <v>54</v>
      </c>
      <c r="C6" s="6" t="s">
        <v>62</v>
      </c>
      <c r="D6" s="5" t="s">
        <v>54</v>
      </c>
      <c r="E6" s="6" t="s">
        <v>41</v>
      </c>
      <c r="F6" s="5" t="s">
        <v>56</v>
      </c>
      <c r="G6" s="6" t="s">
        <v>41</v>
      </c>
      <c r="H6" s="5" t="s">
        <v>56</v>
      </c>
      <c r="I6" s="6" t="s">
        <v>43</v>
      </c>
      <c r="J6" s="5" t="s">
        <v>66</v>
      </c>
      <c r="K6" s="6" t="s">
        <v>62</v>
      </c>
    </row>
    <row r="7" spans="1:23" x14ac:dyDescent="0.4">
      <c r="A7" s="16" t="s">
        <v>21</v>
      </c>
      <c r="B7" s="2" t="s">
        <v>52</v>
      </c>
      <c r="C7" s="6" t="s">
        <v>62</v>
      </c>
      <c r="D7" s="5" t="s">
        <v>68</v>
      </c>
      <c r="E7" s="6" t="s">
        <v>64</v>
      </c>
      <c r="F7" s="5" t="s">
        <v>52</v>
      </c>
      <c r="G7" s="6" t="s">
        <v>43</v>
      </c>
      <c r="H7" s="5" t="s">
        <v>66</v>
      </c>
      <c r="I7" s="6" t="s">
        <v>43</v>
      </c>
      <c r="J7" s="5" t="s">
        <v>52</v>
      </c>
      <c r="K7" s="6" t="s">
        <v>41</v>
      </c>
    </row>
    <row r="8" spans="1:23" x14ac:dyDescent="0.4">
      <c r="A8" s="16" t="s">
        <v>23</v>
      </c>
      <c r="B8" s="2" t="s">
        <v>52</v>
      </c>
      <c r="C8" s="6" t="s">
        <v>60</v>
      </c>
      <c r="D8" s="5" t="s">
        <v>57</v>
      </c>
      <c r="E8" s="6" t="s">
        <v>60</v>
      </c>
      <c r="F8" s="5" t="s">
        <v>57</v>
      </c>
      <c r="G8" s="6" t="s">
        <v>54</v>
      </c>
      <c r="H8" s="5" t="s">
        <v>50</v>
      </c>
      <c r="I8" s="6" t="s">
        <v>48</v>
      </c>
      <c r="J8" s="5" t="s">
        <v>68</v>
      </c>
      <c r="K8" s="6" t="s">
        <v>60</v>
      </c>
    </row>
    <row r="9" spans="1:23" x14ac:dyDescent="0.4">
      <c r="A9" s="16" t="s">
        <v>25</v>
      </c>
      <c r="B9" s="2" t="s">
        <v>54</v>
      </c>
      <c r="C9" s="6" t="s">
        <v>48</v>
      </c>
      <c r="D9" s="5" t="s">
        <v>54</v>
      </c>
      <c r="E9" s="6" t="s">
        <v>64</v>
      </c>
      <c r="F9" s="5" t="s">
        <v>56</v>
      </c>
      <c r="G9" s="6" t="s">
        <v>43</v>
      </c>
      <c r="H9" s="5" t="s">
        <v>54</v>
      </c>
      <c r="I9" s="6" t="s">
        <v>43</v>
      </c>
      <c r="J9" s="5" t="s">
        <v>50</v>
      </c>
      <c r="K9" s="6" t="s">
        <v>64</v>
      </c>
    </row>
    <row r="10" spans="1:23" x14ac:dyDescent="0.4">
      <c r="A10" s="16" t="s">
        <v>27</v>
      </c>
      <c r="B10" s="2" t="s">
        <v>68</v>
      </c>
      <c r="C10" s="6" t="s">
        <v>62</v>
      </c>
      <c r="D10" s="5" t="s">
        <v>44</v>
      </c>
      <c r="E10" s="6" t="s">
        <v>64</v>
      </c>
      <c r="F10" s="5" t="s">
        <v>58</v>
      </c>
      <c r="G10" s="6" t="s">
        <v>48</v>
      </c>
      <c r="H10" s="5" t="s">
        <v>58</v>
      </c>
      <c r="I10" s="6" t="s">
        <v>43</v>
      </c>
      <c r="J10" s="5" t="s">
        <v>58</v>
      </c>
      <c r="K10" s="6" t="s">
        <v>64</v>
      </c>
    </row>
    <row r="11" spans="1:23" x14ac:dyDescent="0.4">
      <c r="A11" s="16" t="s">
        <v>29</v>
      </c>
      <c r="B11" s="2" t="s">
        <v>44</v>
      </c>
      <c r="C11" s="6" t="s">
        <v>50</v>
      </c>
      <c r="D11" s="5" t="s">
        <v>44</v>
      </c>
      <c r="E11" s="6" t="s">
        <v>56</v>
      </c>
      <c r="F11" s="5" t="s">
        <v>68</v>
      </c>
      <c r="G11" s="6" t="s">
        <v>54</v>
      </c>
      <c r="H11" s="5" t="s">
        <v>52</v>
      </c>
      <c r="I11" s="6" t="s">
        <v>56</v>
      </c>
      <c r="J11" s="5" t="s">
        <v>46</v>
      </c>
      <c r="K11" s="6" t="s">
        <v>50</v>
      </c>
    </row>
    <row r="12" spans="1:23" x14ac:dyDescent="0.4">
      <c r="A12" s="16" t="s">
        <v>31</v>
      </c>
      <c r="B12" s="2" t="s">
        <v>60</v>
      </c>
      <c r="C12" s="6" t="s">
        <v>62</v>
      </c>
      <c r="D12" s="5" t="s">
        <v>69</v>
      </c>
      <c r="E12" s="6" t="s">
        <v>62</v>
      </c>
      <c r="F12" s="5" t="s">
        <v>60</v>
      </c>
      <c r="G12" s="6" t="s">
        <v>41</v>
      </c>
      <c r="H12" s="5" t="s">
        <v>50</v>
      </c>
      <c r="I12" s="6" t="s">
        <v>41</v>
      </c>
      <c r="J12" s="5" t="s">
        <v>50</v>
      </c>
      <c r="K12" s="6" t="s">
        <v>43</v>
      </c>
    </row>
    <row r="13" spans="1:23" x14ac:dyDescent="0.4">
      <c r="A13" s="16" t="s">
        <v>33</v>
      </c>
      <c r="B13" s="2" t="s">
        <v>68</v>
      </c>
      <c r="C13" s="6" t="s">
        <v>41</v>
      </c>
      <c r="D13" s="5" t="s">
        <v>46</v>
      </c>
      <c r="E13" s="6" t="s">
        <v>64</v>
      </c>
      <c r="F13" s="5" t="s">
        <v>58</v>
      </c>
      <c r="G13" s="6" t="s">
        <v>43</v>
      </c>
      <c r="H13" s="5" t="s">
        <v>46</v>
      </c>
      <c r="I13" s="6" t="s">
        <v>64</v>
      </c>
      <c r="J13" s="5" t="s">
        <v>52</v>
      </c>
      <c r="K13" s="6" t="s">
        <v>43</v>
      </c>
    </row>
    <row r="14" spans="1:23" x14ac:dyDescent="0.4">
      <c r="A14" s="16" t="s">
        <v>35</v>
      </c>
      <c r="B14" s="2" t="s">
        <v>52</v>
      </c>
      <c r="C14" s="6" t="s">
        <v>50</v>
      </c>
      <c r="D14" s="5" t="s">
        <v>58</v>
      </c>
      <c r="E14" s="6" t="s">
        <v>50</v>
      </c>
      <c r="F14" s="5" t="s">
        <v>68</v>
      </c>
      <c r="G14" s="6" t="s">
        <v>60</v>
      </c>
      <c r="H14" s="5" t="s">
        <v>44</v>
      </c>
      <c r="I14" s="6" t="s">
        <v>56</v>
      </c>
      <c r="J14" s="5" t="s">
        <v>58</v>
      </c>
      <c r="K14" s="6" t="s">
        <v>54</v>
      </c>
    </row>
    <row r="15" spans="1:23" x14ac:dyDescent="0.4">
      <c r="A15" s="16" t="s">
        <v>37</v>
      </c>
      <c r="B15" s="2" t="s">
        <v>44</v>
      </c>
      <c r="C15" s="6" t="s">
        <v>43</v>
      </c>
      <c r="D15" s="5" t="s">
        <v>68</v>
      </c>
      <c r="E15" s="6" t="s">
        <v>48</v>
      </c>
      <c r="F15" s="5" t="s">
        <v>46</v>
      </c>
      <c r="G15" s="6" t="s">
        <v>41</v>
      </c>
      <c r="H15" s="5" t="s">
        <v>52</v>
      </c>
      <c r="I15" s="6" t="s">
        <v>43</v>
      </c>
      <c r="J15" s="5" t="s">
        <v>44</v>
      </c>
      <c r="K15" s="6" t="s">
        <v>62</v>
      </c>
    </row>
    <row r="16" spans="1:23" ht="18" thickBot="1" x14ac:dyDescent="0.45">
      <c r="A16" s="11" t="s">
        <v>39</v>
      </c>
      <c r="B16" s="15" t="s">
        <v>44</v>
      </c>
      <c r="C16" s="8" t="s">
        <v>60</v>
      </c>
      <c r="D16" s="7" t="s">
        <v>52</v>
      </c>
      <c r="E16" s="8" t="s">
        <v>66</v>
      </c>
      <c r="F16" s="7" t="s">
        <v>68</v>
      </c>
      <c r="G16" s="8" t="s">
        <v>66</v>
      </c>
      <c r="H16" s="7" t="s">
        <v>68</v>
      </c>
      <c r="I16" s="8" t="s">
        <v>50</v>
      </c>
      <c r="J16" s="7" t="s">
        <v>46</v>
      </c>
      <c r="K16" s="8" t="s">
        <v>60</v>
      </c>
    </row>
    <row r="17" spans="1:23" x14ac:dyDescent="0.4">
      <c r="A17" s="10" t="s">
        <v>71</v>
      </c>
      <c r="L17" s="12" t="s">
        <v>68</v>
      </c>
      <c r="M17" s="13" t="s">
        <v>62</v>
      </c>
      <c r="N17" s="12" t="s">
        <v>44</v>
      </c>
      <c r="O17" s="13" t="s">
        <v>62</v>
      </c>
      <c r="P17" s="12" t="s">
        <v>58</v>
      </c>
      <c r="Q17" s="13" t="s">
        <v>43</v>
      </c>
    </row>
    <row r="18" spans="1:23" x14ac:dyDescent="0.4">
      <c r="A18" s="16" t="s">
        <v>73</v>
      </c>
      <c r="L18" s="5" t="s">
        <v>60</v>
      </c>
      <c r="M18" s="6" t="s">
        <v>43</v>
      </c>
      <c r="N18" s="5" t="s">
        <v>54</v>
      </c>
      <c r="O18" s="6" t="s">
        <v>41</v>
      </c>
      <c r="P18" s="5" t="s">
        <v>66</v>
      </c>
      <c r="Q18" s="6" t="s">
        <v>64</v>
      </c>
    </row>
    <row r="19" spans="1:23" x14ac:dyDescent="0.4">
      <c r="A19" s="16" t="s">
        <v>75</v>
      </c>
      <c r="L19" s="5" t="s">
        <v>60</v>
      </c>
      <c r="M19" s="6" t="s">
        <v>64</v>
      </c>
      <c r="N19" s="5" t="s">
        <v>56</v>
      </c>
      <c r="O19" s="6" t="s">
        <v>62</v>
      </c>
      <c r="P19" s="5" t="s">
        <v>66</v>
      </c>
      <c r="Q19" s="6" t="s">
        <v>48</v>
      </c>
    </row>
    <row r="20" spans="1:23" ht="18" thickBot="1" x14ac:dyDescent="0.45">
      <c r="A20" s="11" t="s">
        <v>77</v>
      </c>
      <c r="L20" s="7" t="s">
        <v>68</v>
      </c>
      <c r="M20" s="8" t="s">
        <v>66</v>
      </c>
      <c r="N20" s="7" t="s">
        <v>44</v>
      </c>
      <c r="O20" s="8" t="s">
        <v>56</v>
      </c>
      <c r="P20" s="7" t="s">
        <v>44</v>
      </c>
      <c r="Q20" s="8" t="s">
        <v>56</v>
      </c>
    </row>
    <row r="21" spans="1:23" x14ac:dyDescent="0.4">
      <c r="A21" s="10" t="s">
        <v>91</v>
      </c>
      <c r="R21" s="12" t="s">
        <v>46</v>
      </c>
      <c r="S21" s="13" t="s">
        <v>64</v>
      </c>
      <c r="T21" s="12" t="s">
        <v>68</v>
      </c>
      <c r="U21" s="13" t="s">
        <v>66</v>
      </c>
      <c r="V21" s="12" t="s">
        <v>44</v>
      </c>
      <c r="W21" s="13" t="s">
        <v>48</v>
      </c>
    </row>
    <row r="22" spans="1:23" x14ac:dyDescent="0.4">
      <c r="A22" s="16" t="s">
        <v>93</v>
      </c>
      <c r="R22" s="5" t="s">
        <v>60</v>
      </c>
      <c r="S22" s="6" t="s">
        <v>64</v>
      </c>
      <c r="T22" s="5" t="s">
        <v>54</v>
      </c>
      <c r="U22" s="6" t="s">
        <v>41</v>
      </c>
      <c r="V22" s="5" t="s">
        <v>50</v>
      </c>
      <c r="W22" s="6" t="s">
        <v>48</v>
      </c>
    </row>
    <row r="23" spans="1:23" x14ac:dyDescent="0.4">
      <c r="A23" s="16" t="s">
        <v>95</v>
      </c>
      <c r="R23" s="5" t="s">
        <v>52</v>
      </c>
      <c r="S23" s="6" t="s">
        <v>54</v>
      </c>
      <c r="T23" s="5" t="s">
        <v>58</v>
      </c>
      <c r="U23" s="6" t="s">
        <v>56</v>
      </c>
      <c r="V23" s="5" t="s">
        <v>52</v>
      </c>
      <c r="W23" s="6" t="s">
        <v>54</v>
      </c>
    </row>
    <row r="24" spans="1:23" ht="18" thickBot="1" x14ac:dyDescent="0.45">
      <c r="A24" s="11" t="s">
        <v>97</v>
      </c>
      <c r="R24" s="7" t="s">
        <v>58</v>
      </c>
      <c r="S24" s="8" t="s">
        <v>64</v>
      </c>
      <c r="T24" s="7" t="s">
        <v>58</v>
      </c>
      <c r="U24" s="8" t="s">
        <v>48</v>
      </c>
      <c r="V24" s="7" t="s">
        <v>46</v>
      </c>
      <c r="W24" s="8" t="s">
        <v>48</v>
      </c>
    </row>
    <row r="25" spans="1:23" x14ac:dyDescent="0.4">
      <c r="A25" s="10" t="s">
        <v>99</v>
      </c>
      <c r="B25" s="14" t="s">
        <v>46</v>
      </c>
      <c r="C25" s="13" t="s">
        <v>64</v>
      </c>
      <c r="L25" s="12" t="s">
        <v>52</v>
      </c>
      <c r="M25" s="13" t="s">
        <v>41</v>
      </c>
      <c r="R25" s="12" t="s">
        <v>44</v>
      </c>
      <c r="S25" s="13" t="s">
        <v>62</v>
      </c>
    </row>
    <row r="26" spans="1:23" x14ac:dyDescent="0.4">
      <c r="A26" s="16" t="s">
        <v>101</v>
      </c>
      <c r="B26" s="2" t="s">
        <v>66</v>
      </c>
      <c r="C26" s="6" t="s">
        <v>62</v>
      </c>
      <c r="L26" s="5" t="s">
        <v>66</v>
      </c>
      <c r="M26" s="6" t="s">
        <v>48</v>
      </c>
      <c r="R26" s="5" t="s">
        <v>50</v>
      </c>
      <c r="S26" s="6" t="s">
        <v>64</v>
      </c>
    </row>
    <row r="27" spans="1:23" x14ac:dyDescent="0.4">
      <c r="A27" s="16" t="s">
        <v>103</v>
      </c>
      <c r="B27" s="2" t="s">
        <v>58</v>
      </c>
      <c r="C27" s="6" t="s">
        <v>54</v>
      </c>
      <c r="L27" s="5" t="s">
        <v>68</v>
      </c>
      <c r="M27" s="6" t="s">
        <v>50</v>
      </c>
      <c r="R27" s="5" t="s">
        <v>46</v>
      </c>
      <c r="S27" s="6" t="s">
        <v>54</v>
      </c>
    </row>
    <row r="28" spans="1:23" ht="18" thickBot="1" x14ac:dyDescent="0.45">
      <c r="A28" s="11" t="s">
        <v>105</v>
      </c>
      <c r="B28" s="15" t="s">
        <v>68</v>
      </c>
      <c r="C28" s="8" t="s">
        <v>66</v>
      </c>
      <c r="L28" s="7" t="s">
        <v>46</v>
      </c>
      <c r="M28" s="8" t="s">
        <v>60</v>
      </c>
      <c r="R28" s="7" t="s">
        <v>46</v>
      </c>
      <c r="S28" s="8" t="s">
        <v>66</v>
      </c>
    </row>
    <row r="29" spans="1:23" x14ac:dyDescent="0.4">
      <c r="A29" s="10" t="s">
        <v>107</v>
      </c>
      <c r="D29" s="12" t="s">
        <v>68</v>
      </c>
      <c r="E29" s="13" t="s">
        <v>66</v>
      </c>
      <c r="N29" s="12" t="s">
        <v>46</v>
      </c>
      <c r="O29" s="13" t="s">
        <v>54</v>
      </c>
      <c r="T29" s="12" t="s">
        <v>44</v>
      </c>
      <c r="U29" s="13" t="s">
        <v>41</v>
      </c>
    </row>
    <row r="30" spans="1:23" x14ac:dyDescent="0.4">
      <c r="A30" s="16" t="s">
        <v>109</v>
      </c>
      <c r="D30" s="5" t="s">
        <v>44</v>
      </c>
      <c r="E30" s="6" t="s">
        <v>62</v>
      </c>
      <c r="N30" s="5" t="s">
        <v>68</v>
      </c>
      <c r="O30" s="6" t="s">
        <v>64</v>
      </c>
      <c r="T30" s="5" t="s">
        <v>46</v>
      </c>
      <c r="U30" s="6" t="s">
        <v>48</v>
      </c>
    </row>
    <row r="31" spans="1:23" x14ac:dyDescent="0.4">
      <c r="A31" s="16" t="s">
        <v>111</v>
      </c>
      <c r="D31" s="5" t="s">
        <v>68</v>
      </c>
      <c r="E31" s="6" t="s">
        <v>62</v>
      </c>
      <c r="N31" s="5" t="s">
        <v>68</v>
      </c>
      <c r="O31" s="6" t="s">
        <v>41</v>
      </c>
      <c r="T31" s="5" t="s">
        <v>52</v>
      </c>
      <c r="U31" s="6" t="s">
        <v>48</v>
      </c>
    </row>
    <row r="32" spans="1:23" ht="18" thickBot="1" x14ac:dyDescent="0.45">
      <c r="A32" s="11" t="s">
        <v>113</v>
      </c>
      <c r="D32" s="7" t="s">
        <v>56</v>
      </c>
      <c r="E32" s="8" t="s">
        <v>41</v>
      </c>
      <c r="N32" s="7" t="s">
        <v>66</v>
      </c>
      <c r="O32" s="8" t="s">
        <v>62</v>
      </c>
      <c r="T32" s="7" t="s">
        <v>50</v>
      </c>
      <c r="U32" s="8" t="s">
        <v>48</v>
      </c>
    </row>
    <row r="33" spans="1:23" x14ac:dyDescent="0.4">
      <c r="A33" s="10" t="s">
        <v>115</v>
      </c>
      <c r="J33" s="12" t="s">
        <v>56</v>
      </c>
      <c r="K33" s="13" t="s">
        <v>64</v>
      </c>
      <c r="P33" s="12" t="s">
        <v>54</v>
      </c>
      <c r="Q33" s="13" t="s">
        <v>41</v>
      </c>
      <c r="V33" s="12" t="s">
        <v>60</v>
      </c>
      <c r="W33" s="13" t="s">
        <v>64</v>
      </c>
    </row>
    <row r="34" spans="1:23" x14ac:dyDescent="0.4">
      <c r="A34" s="16" t="s">
        <v>117</v>
      </c>
      <c r="J34" s="5" t="s">
        <v>58</v>
      </c>
      <c r="K34" s="6" t="s">
        <v>66</v>
      </c>
      <c r="P34" s="5" t="s">
        <v>44</v>
      </c>
      <c r="Q34" s="6" t="s">
        <v>56</v>
      </c>
      <c r="V34" s="5" t="s">
        <v>52</v>
      </c>
      <c r="W34" s="6" t="s">
        <v>60</v>
      </c>
    </row>
    <row r="35" spans="1:23" x14ac:dyDescent="0.4">
      <c r="A35" s="16" t="s">
        <v>119</v>
      </c>
      <c r="J35" s="5" t="s">
        <v>46</v>
      </c>
      <c r="K35" s="6" t="s">
        <v>66</v>
      </c>
      <c r="P35" s="5" t="s">
        <v>52</v>
      </c>
      <c r="Q35" s="6" t="s">
        <v>66</v>
      </c>
      <c r="V35" s="5" t="s">
        <v>46</v>
      </c>
      <c r="W35" s="6" t="s">
        <v>56</v>
      </c>
    </row>
    <row r="36" spans="1:23" ht="18" thickBot="1" x14ac:dyDescent="0.45">
      <c r="A36" s="11" t="s">
        <v>121</v>
      </c>
      <c r="J36" s="7" t="s">
        <v>46</v>
      </c>
      <c r="K36" s="8" t="s">
        <v>41</v>
      </c>
      <c r="P36" s="7" t="s">
        <v>52</v>
      </c>
      <c r="Q36" s="8" t="s">
        <v>62</v>
      </c>
      <c r="V36" s="7" t="s">
        <v>52</v>
      </c>
      <c r="W36" s="8" t="s">
        <v>48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FBEC70-9CD4-46A9-B02E-5EC9BCB362DD}">
  <sheetPr codeName="Sheet8"/>
  <dimension ref="A1:W16"/>
  <sheetViews>
    <sheetView zoomScale="85" zoomScaleNormal="85" workbookViewId="0">
      <selection activeCell="C21" sqref="C21"/>
    </sheetView>
  </sheetViews>
  <sheetFormatPr defaultRowHeight="17.399999999999999" x14ac:dyDescent="0.4"/>
  <sheetData>
    <row r="1" spans="1:23" ht="18" thickBot="1" x14ac:dyDescent="0.45">
      <c r="A1" s="9"/>
      <c r="B1" s="25" t="s">
        <v>1</v>
      </c>
      <c r="C1" s="26" t="s">
        <v>1</v>
      </c>
      <c r="D1" s="26" t="s">
        <v>3</v>
      </c>
      <c r="E1" s="26" t="s">
        <v>3</v>
      </c>
      <c r="F1" s="26" t="s">
        <v>5</v>
      </c>
      <c r="G1" s="26" t="s">
        <v>5</v>
      </c>
      <c r="H1" s="26" t="s">
        <v>7</v>
      </c>
      <c r="I1" s="26" t="s">
        <v>7</v>
      </c>
      <c r="J1" s="26" t="s">
        <v>9</v>
      </c>
      <c r="K1" s="26" t="s">
        <v>9</v>
      </c>
      <c r="L1" s="26" t="s">
        <v>79</v>
      </c>
      <c r="M1" s="26" t="s">
        <v>79</v>
      </c>
      <c r="N1" s="26" t="s">
        <v>81</v>
      </c>
      <c r="O1" s="26" t="s">
        <v>81</v>
      </c>
      <c r="P1" s="26" t="s">
        <v>83</v>
      </c>
      <c r="Q1" s="26" t="s">
        <v>83</v>
      </c>
      <c r="R1" s="26" t="s">
        <v>85</v>
      </c>
      <c r="S1" s="26" t="s">
        <v>85</v>
      </c>
      <c r="T1" s="26" t="s">
        <v>87</v>
      </c>
      <c r="U1" s="26" t="s">
        <v>87</v>
      </c>
      <c r="V1" s="26" t="s">
        <v>89</v>
      </c>
      <c r="W1" s="21" t="s">
        <v>89</v>
      </c>
    </row>
    <row r="2" spans="1:23" x14ac:dyDescent="0.4">
      <c r="A2" s="24" t="s">
        <v>58</v>
      </c>
      <c r="B2" s="4" t="str">
        <f>_xlfn.IFNA(INDEX(총합!$A$2:$A$36,MATCH(Sheet9!$A2,총합!B$2:B$36,0)),"-")</f>
        <v>제사장</v>
      </c>
      <c r="C2" s="18" t="str">
        <f>_xlfn.IFNA(INDEX(총합!$A$2:$A$36,MATCH(Sheet9!$A2,총합!C$2:C$36,0)),"-")</f>
        <v>-</v>
      </c>
      <c r="D2" s="18" t="str">
        <f>_xlfn.IFNA(INDEX(총합!$A$2:$A$36,MATCH(Sheet9!$A2,총합!D$2:D$36,0)),"-")</f>
        <v>제사장</v>
      </c>
      <c r="E2" s="18" t="str">
        <f>_xlfn.IFNA(INDEX(총합!$A$2:$A$36,MATCH(Sheet9!$A2,총합!E$2:E$36,0)),"-")</f>
        <v>-</v>
      </c>
      <c r="F2" s="18" t="str">
        <f>_xlfn.IFNA(INDEX(총합!$A$2:$A$36,MATCH(Sheet9!$A2,총합!F$2:F$36,0)),"-")</f>
        <v>사막</v>
      </c>
      <c r="G2" s="18" t="str">
        <f>_xlfn.IFNA(INDEX(총합!$A$2:$A$36,MATCH(Sheet9!$A2,총합!G$2:G$36,0)),"-")</f>
        <v>-</v>
      </c>
      <c r="H2" s="18" t="str">
        <f>_xlfn.IFNA(INDEX(총합!$A$2:$A$36,MATCH(Sheet9!$A2,총합!H$2:H$36,0)),"-")</f>
        <v>A.D.P</v>
      </c>
      <c r="I2" s="18" t="str">
        <f>_xlfn.IFNA(INDEX(총합!$A$2:$A$36,MATCH(Sheet9!$A2,총합!I$2:I$36,0)),"-")</f>
        <v>-</v>
      </c>
      <c r="J2" s="18" t="str">
        <f>_xlfn.IFNA(INDEX(총합!$A$2:$A$36,MATCH(Sheet9!$A2,총합!J$2:J$36,0)),"-")</f>
        <v>마법사</v>
      </c>
      <c r="K2" s="18" t="str">
        <f>_xlfn.IFNA(INDEX(총합!$A$2:$A$36,MATCH(Sheet9!$A2,총합!K$2:K$36,0)),"-")</f>
        <v>-</v>
      </c>
      <c r="L2" s="18" t="str">
        <f>_xlfn.IFNA(INDEX(총합!$A$2:$A$36,MATCH(Sheet9!$A2,총합!L$2:L$36,0)),"-")</f>
        <v>-</v>
      </c>
      <c r="M2" s="18" t="str">
        <f>_xlfn.IFNA(INDEX(총합!$A$2:$A$36,MATCH(Sheet9!$A2,총합!M$2:M$36,0)),"-")</f>
        <v>-</v>
      </c>
      <c r="N2" s="18" t="str">
        <f>_xlfn.IFNA(INDEX(총합!$A$2:$A$36,MATCH(Sheet9!$A2,총합!N$2:N$36,0)),"-")</f>
        <v>-</v>
      </c>
      <c r="O2" s="18" t="str">
        <f>_xlfn.IFNA(INDEX(총합!$A$2:$A$36,MATCH(Sheet9!$A2,총합!O$2:O$36,0)),"-")</f>
        <v>-</v>
      </c>
      <c r="P2" s="18" t="str">
        <f>_xlfn.IFNA(INDEX(총합!$A$2:$A$36,MATCH(Sheet9!$A2,총합!P$2:P$36,0)),"-")</f>
        <v>술식</v>
      </c>
      <c r="Q2" s="18" t="str">
        <f>_xlfn.IFNA(INDEX(총합!$A$2:$A$36,MATCH(Sheet9!$A2,총합!Q$2:Q$36,0)),"-")</f>
        <v>-</v>
      </c>
      <c r="R2" s="18" t="str">
        <f>_xlfn.IFNA(INDEX(총합!$A$2:$A$36,MATCH(Sheet9!$A2,총합!R$2:R$36,0)),"-")</f>
        <v>싱크로</v>
      </c>
      <c r="S2" s="18" t="str">
        <f>_xlfn.IFNA(INDEX(총합!$A$2:$A$36,MATCH(Sheet9!$A2,총합!S$2:S$36,0)),"-")</f>
        <v>-</v>
      </c>
      <c r="T2" s="18" t="str">
        <f>_xlfn.IFNA(INDEX(총합!$A$2:$A$36,MATCH(Sheet9!$A2,총합!T$2:T$36,0)),"-")</f>
        <v>시전</v>
      </c>
      <c r="U2" s="18" t="str">
        <f>_xlfn.IFNA(INDEX(총합!$A$2:$A$36,MATCH(Sheet9!$A2,총합!U$2:U$36,0)),"-")</f>
        <v>-</v>
      </c>
      <c r="V2" s="18" t="str">
        <f>_xlfn.IFNA(INDEX(총합!$A$2:$A$36,MATCH(Sheet9!$A2,총합!V$2:V$36,0)),"-")</f>
        <v>-</v>
      </c>
      <c r="W2" s="19" t="str">
        <f>_xlfn.IFNA(INDEX(총합!$A$2:$A$36,MATCH(Sheet9!$A2,총합!W$2:W$36,0)),"-")</f>
        <v>-</v>
      </c>
    </row>
    <row r="3" spans="1:23" x14ac:dyDescent="0.4">
      <c r="A3" s="16" t="s">
        <v>52</v>
      </c>
      <c r="B3" s="2" t="str">
        <f>_xlfn.IFNA(INDEX(총합!$A$2:$A$36,MATCH(Sheet9!$A3,총합!B$2:B$36,0)),"-")</f>
        <v>베테랑</v>
      </c>
      <c r="C3" s="1" t="str">
        <f>_xlfn.IFNA(INDEX(총합!$A$2:$A$36,MATCH(Sheet9!$A3,총합!C$2:C$36,0)),"-")</f>
        <v>-</v>
      </c>
      <c r="D3" s="1" t="str">
        <f>_xlfn.IFNA(INDEX(총합!$A$2:$A$36,MATCH(Sheet9!$A3,총합!D$2:D$36,0)),"-")</f>
        <v>마법사</v>
      </c>
      <c r="E3" s="1" t="str">
        <f>_xlfn.IFNA(INDEX(총합!$A$2:$A$36,MATCH(Sheet9!$A3,총합!E$2:E$36,0)),"-")</f>
        <v>-</v>
      </c>
      <c r="F3" s="1" t="str">
        <f>_xlfn.IFNA(INDEX(총합!$A$2:$A$36,MATCH(Sheet9!$A3,총합!F$2:F$36,0)),"-")</f>
        <v>베테랑</v>
      </c>
      <c r="G3" s="1" t="str">
        <f>_xlfn.IFNA(INDEX(총합!$A$2:$A$36,MATCH(Sheet9!$A3,총합!G$2:G$36,0)),"-")</f>
        <v>-</v>
      </c>
      <c r="H3" s="1" t="str">
        <f>_xlfn.IFNA(INDEX(총합!$A$2:$A$36,MATCH(Sheet9!$A3,총합!H$2:H$36,0)),"-")</f>
        <v>개악</v>
      </c>
      <c r="I3" s="1" t="str">
        <f>_xlfn.IFNA(INDEX(총합!$A$2:$A$36,MATCH(Sheet9!$A3,총합!I$2:I$36,0)),"-")</f>
        <v>-</v>
      </c>
      <c r="J3" s="1" t="str">
        <f>_xlfn.IFNA(INDEX(총합!$A$2:$A$36,MATCH(Sheet9!$A3,총합!J$2:J$36,0)),"-")</f>
        <v>베테랑</v>
      </c>
      <c r="K3" s="1" t="str">
        <f>_xlfn.IFNA(INDEX(총합!$A$2:$A$36,MATCH(Sheet9!$A3,총합!K$2:K$36,0)),"-")</f>
        <v>-</v>
      </c>
      <c r="L3" s="1" t="str">
        <f>_xlfn.IFNA(INDEX(총합!$A$2:$A$36,MATCH(Sheet9!$A3,총합!L$2:L$36,0)),"-")</f>
        <v>심연</v>
      </c>
      <c r="M3" s="1" t="str">
        <f>_xlfn.IFNA(INDEX(총합!$A$2:$A$36,MATCH(Sheet9!$A3,총합!M$2:M$36,0)),"-")</f>
        <v>-</v>
      </c>
      <c r="N3" s="1" t="str">
        <f>_xlfn.IFNA(INDEX(총합!$A$2:$A$36,MATCH(Sheet9!$A3,총합!N$2:N$36,0)),"-")</f>
        <v>-</v>
      </c>
      <c r="O3" s="1" t="str">
        <f>_xlfn.IFNA(INDEX(총합!$A$2:$A$36,MATCH(Sheet9!$A3,총합!O$2:O$36,0)),"-")</f>
        <v>-</v>
      </c>
      <c r="P3" s="1" t="str">
        <f>_xlfn.IFNA(INDEX(총합!$A$2:$A$36,MATCH(Sheet9!$A3,총합!P$2:P$36,0)),"-")</f>
        <v>운명</v>
      </c>
      <c r="Q3" s="1" t="str">
        <f>_xlfn.IFNA(INDEX(총합!$A$2:$A$36,MATCH(Sheet9!$A3,총합!Q$2:Q$36,0)),"-")</f>
        <v>-</v>
      </c>
      <c r="R3" s="1" t="str">
        <f>_xlfn.IFNA(INDEX(총합!$A$2:$A$36,MATCH(Sheet9!$A3,총합!R$2:R$36,0)),"-")</f>
        <v>시전</v>
      </c>
      <c r="S3" s="1" t="str">
        <f>_xlfn.IFNA(INDEX(총합!$A$2:$A$36,MATCH(Sheet9!$A3,총합!S$2:S$36,0)),"-")</f>
        <v>-</v>
      </c>
      <c r="T3" s="1" t="str">
        <f>_xlfn.IFNA(INDEX(총합!$A$2:$A$36,MATCH(Sheet9!$A3,총합!T$2:T$36,0)),"-")</f>
        <v>함성</v>
      </c>
      <c r="U3" s="1" t="str">
        <f>_xlfn.IFNA(INDEX(총합!$A$2:$A$36,MATCH(Sheet9!$A3,총합!U$2:U$36,0)),"-")</f>
        <v>-</v>
      </c>
      <c r="V3" s="1" t="str">
        <f>_xlfn.IFNA(INDEX(총합!$A$2:$A$36,MATCH(Sheet9!$A3,총합!V$2:V$36,0)),"-")</f>
        <v>시전</v>
      </c>
      <c r="W3" s="6" t="str">
        <f>_xlfn.IFNA(INDEX(총합!$A$2:$A$36,MATCH(Sheet9!$A3,총합!W$2:W$36,0)),"-")</f>
        <v>-</v>
      </c>
    </row>
    <row r="4" spans="1:23" x14ac:dyDescent="0.4">
      <c r="A4" s="16" t="s">
        <v>46</v>
      </c>
      <c r="B4" s="2" t="str">
        <f>_xlfn.IFNA(INDEX(총합!$A$2:$A$36,MATCH(Sheet9!$A4,총합!B$2:B$36,0)),"-")</f>
        <v>심연</v>
      </c>
      <c r="C4" s="1" t="str">
        <f>_xlfn.IFNA(INDEX(총합!$A$2:$A$36,MATCH(Sheet9!$A4,총합!C$2:C$36,0)),"-")</f>
        <v>-</v>
      </c>
      <c r="D4" s="1" t="str">
        <f>_xlfn.IFNA(INDEX(총합!$A$2:$A$36,MATCH(Sheet9!$A4,총합!D$2:D$36,0)),"-")</f>
        <v>구속</v>
      </c>
      <c r="E4" s="1" t="str">
        <f>_xlfn.IFNA(INDEX(총합!$A$2:$A$36,MATCH(Sheet9!$A4,총합!E$2:E$36,0)),"-")</f>
        <v>-</v>
      </c>
      <c r="F4" s="1" t="str">
        <f>_xlfn.IFNA(INDEX(총합!$A$2:$A$36,MATCH(Sheet9!$A4,총합!F$2:F$36,0)),"-")</f>
        <v>마법사</v>
      </c>
      <c r="G4" s="1" t="str">
        <f>_xlfn.IFNA(INDEX(총합!$A$2:$A$36,MATCH(Sheet9!$A4,총합!G$2:G$36,0)),"-")</f>
        <v>-</v>
      </c>
      <c r="H4" s="1" t="str">
        <f>_xlfn.IFNA(INDEX(총합!$A$2:$A$36,MATCH(Sheet9!$A4,총합!H$2:H$36,0)),"-")</f>
        <v>구속</v>
      </c>
      <c r="I4" s="1" t="str">
        <f>_xlfn.IFNA(INDEX(총합!$A$2:$A$36,MATCH(Sheet9!$A4,총합!I$2:I$36,0)),"-")</f>
        <v>-</v>
      </c>
      <c r="J4" s="1" t="str">
        <f>_xlfn.IFNA(INDEX(총합!$A$2:$A$36,MATCH(Sheet9!$A4,총합!J$2:J$36,0)),"-")</f>
        <v>제사장</v>
      </c>
      <c r="K4" s="1" t="str">
        <f>_xlfn.IFNA(INDEX(총합!$A$2:$A$36,MATCH(Sheet9!$A4,총합!K$2:K$36,0)),"-")</f>
        <v>-</v>
      </c>
      <c r="L4" s="1" t="str">
        <f>_xlfn.IFNA(INDEX(총합!$A$2:$A$36,MATCH(Sheet9!$A4,총합!L$2:L$36,0)),"-")</f>
        <v>분노</v>
      </c>
      <c r="M4" s="1" t="str">
        <f>_xlfn.IFNA(INDEX(총합!$A$2:$A$36,MATCH(Sheet9!$A4,총합!M$2:M$36,0)),"-")</f>
        <v>-</v>
      </c>
      <c r="N4" s="1" t="str">
        <f>_xlfn.IFNA(INDEX(총합!$A$2:$A$36,MATCH(Sheet9!$A4,총합!N$2:N$36,0)),"-")</f>
        <v>흑마</v>
      </c>
      <c r="O4" s="1" t="str">
        <f>_xlfn.IFNA(INDEX(총합!$A$2:$A$36,MATCH(Sheet9!$A4,총합!O$2:O$36,0)),"-")</f>
        <v>-</v>
      </c>
      <c r="P4" s="1" t="str">
        <f>_xlfn.IFNA(INDEX(총합!$A$2:$A$36,MATCH(Sheet9!$A4,총합!P$2:P$36,0)),"-")</f>
        <v>-</v>
      </c>
      <c r="Q4" s="1" t="str">
        <f>_xlfn.IFNA(INDEX(총합!$A$2:$A$36,MATCH(Sheet9!$A4,총합!Q$2:Q$36,0)),"-")</f>
        <v>-</v>
      </c>
      <c r="R4" s="1" t="str">
        <f>_xlfn.IFNA(INDEX(총합!$A$2:$A$36,MATCH(Sheet9!$A4,총합!R$2:R$36,0)),"-")</f>
        <v>군신</v>
      </c>
      <c r="S4" s="1" t="str">
        <f>_xlfn.IFNA(INDEX(총합!$A$2:$A$36,MATCH(Sheet9!$A4,총합!S$2:S$36,0)),"-")</f>
        <v>-</v>
      </c>
      <c r="T4" s="1" t="str">
        <f>_xlfn.IFNA(INDEX(총합!$A$2:$A$36,MATCH(Sheet9!$A4,총합!T$2:T$36,0)),"-")</f>
        <v>시여</v>
      </c>
      <c r="U4" s="1" t="str">
        <f>_xlfn.IFNA(INDEX(총합!$A$2:$A$36,MATCH(Sheet9!$A4,총합!U$2:U$36,0)),"-")</f>
        <v>-</v>
      </c>
      <c r="V4" s="1" t="str">
        <f>_xlfn.IFNA(INDEX(총합!$A$2:$A$36,MATCH(Sheet9!$A4,총합!V$2:V$36,0)),"-")</f>
        <v>싱크로</v>
      </c>
      <c r="W4" s="6" t="str">
        <f>_xlfn.IFNA(INDEX(총합!$A$2:$A$36,MATCH(Sheet9!$A4,총합!W$2:W$36,0)),"-")</f>
        <v>-</v>
      </c>
    </row>
    <row r="5" spans="1:23" x14ac:dyDescent="0.4">
      <c r="A5" s="16" t="s">
        <v>68</v>
      </c>
      <c r="B5" s="2" t="str">
        <f>_xlfn.IFNA(INDEX(총합!$A$2:$A$36,MATCH(Sheet9!$A5,총합!B$2:B$36,0)),"-")</f>
        <v>A.D.P</v>
      </c>
      <c r="C5" s="1" t="str">
        <f>_xlfn.IFNA(INDEX(총합!$A$2:$A$36,MATCH(Sheet9!$A5,총합!C$2:C$36,0)),"-")</f>
        <v>-</v>
      </c>
      <c r="D5" s="1" t="str">
        <f>_xlfn.IFNA(INDEX(총합!$A$2:$A$36,MATCH(Sheet9!$A5,총합!D$2:D$36,0)),"-")</f>
        <v>베테랑</v>
      </c>
      <c r="E5" s="1" t="str">
        <f>_xlfn.IFNA(INDEX(총합!$A$2:$A$36,MATCH(Sheet9!$A5,총합!E$2:E$36,0)),"-")</f>
        <v>-</v>
      </c>
      <c r="F5" s="1" t="str">
        <f>_xlfn.IFNA(INDEX(총합!$A$2:$A$36,MATCH(Sheet9!$A5,총합!F$2:F$36,0)),"-")</f>
        <v>개악</v>
      </c>
      <c r="G5" s="1" t="str">
        <f>_xlfn.IFNA(INDEX(총합!$A$2:$A$36,MATCH(Sheet9!$A5,총합!G$2:G$36,0)),"-")</f>
        <v>-</v>
      </c>
      <c r="H5" s="1" t="str">
        <f>_xlfn.IFNA(INDEX(총합!$A$2:$A$36,MATCH(Sheet9!$A5,총합!H$2:H$36,0)),"-")</f>
        <v>대자연</v>
      </c>
      <c r="I5" s="1" t="str">
        <f>_xlfn.IFNA(INDEX(총합!$A$2:$A$36,MATCH(Sheet9!$A5,총합!I$2:I$36,0)),"-")</f>
        <v>-</v>
      </c>
      <c r="J5" s="1" t="str">
        <f>_xlfn.IFNA(INDEX(총합!$A$2:$A$36,MATCH(Sheet9!$A5,총합!J$2:J$36,0)),"-")</f>
        <v>사막</v>
      </c>
      <c r="K5" s="1" t="str">
        <f>_xlfn.IFNA(INDEX(총합!$A$2:$A$36,MATCH(Sheet9!$A5,총합!K$2:K$36,0)),"-")</f>
        <v>-</v>
      </c>
      <c r="L5" s="1" t="str">
        <f>_xlfn.IFNA(INDEX(총합!$A$2:$A$36,MATCH(Sheet9!$A5,총합!L$2:L$36,0)),"-")</f>
        <v>술식</v>
      </c>
      <c r="M5" s="1" t="str">
        <f>_xlfn.IFNA(INDEX(총합!$A$2:$A$36,MATCH(Sheet9!$A5,총합!M$2:M$36,0)),"-")</f>
        <v>-</v>
      </c>
      <c r="N5" s="1" t="str">
        <f>_xlfn.IFNA(INDEX(총합!$A$2:$A$36,MATCH(Sheet9!$A5,총합!N$2:N$36,0)),"-")</f>
        <v>시여</v>
      </c>
      <c r="O5" s="1" t="str">
        <f>_xlfn.IFNA(INDEX(총합!$A$2:$A$36,MATCH(Sheet9!$A5,총합!O$2:O$36,0)),"-")</f>
        <v>-</v>
      </c>
      <c r="P5" s="1" t="str">
        <f>_xlfn.IFNA(INDEX(총합!$A$2:$A$36,MATCH(Sheet9!$A5,총합!P$2:P$36,0)),"-")</f>
        <v>-</v>
      </c>
      <c r="Q5" s="1" t="str">
        <f>_xlfn.IFNA(INDEX(총합!$A$2:$A$36,MATCH(Sheet9!$A5,총합!Q$2:Q$36,0)),"-")</f>
        <v>-</v>
      </c>
      <c r="R5" s="1" t="str">
        <f>_xlfn.IFNA(INDEX(총합!$A$2:$A$36,MATCH(Sheet9!$A5,총합!R$2:R$36,0)),"-")</f>
        <v>-</v>
      </c>
      <c r="S5" s="1" t="str">
        <f>_xlfn.IFNA(INDEX(총합!$A$2:$A$36,MATCH(Sheet9!$A5,총합!S$2:S$36,0)),"-")</f>
        <v>-</v>
      </c>
      <c r="T5" s="1" t="str">
        <f>_xlfn.IFNA(INDEX(총합!$A$2:$A$36,MATCH(Sheet9!$A5,총합!T$2:T$36,0)),"-")</f>
        <v>군신</v>
      </c>
      <c r="U5" s="1" t="str">
        <f>_xlfn.IFNA(INDEX(총합!$A$2:$A$36,MATCH(Sheet9!$A5,총합!U$2:U$36,0)),"-")</f>
        <v>-</v>
      </c>
      <c r="V5" s="1" t="str">
        <f>_xlfn.IFNA(INDEX(총합!$A$2:$A$36,MATCH(Sheet9!$A5,총합!V$2:V$36,0)),"-")</f>
        <v>-</v>
      </c>
      <c r="W5" s="6" t="str">
        <f>_xlfn.IFNA(INDEX(총합!$A$2:$A$36,MATCH(Sheet9!$A5,총합!W$2:W$36,0)),"-")</f>
        <v>-</v>
      </c>
    </row>
    <row r="6" spans="1:23" x14ac:dyDescent="0.4">
      <c r="A6" s="16" t="s">
        <v>44</v>
      </c>
      <c r="B6" s="2" t="str">
        <f>_xlfn.IFNA(INDEX(총합!$A$2:$A$36,MATCH(Sheet9!$A6,총합!B$2:B$36,0)),"-")</f>
        <v>개악</v>
      </c>
      <c r="C6" s="1" t="str">
        <f>_xlfn.IFNA(INDEX(총합!$A$2:$A$36,MATCH(Sheet9!$A6,총합!C$2:C$36,0)),"-")</f>
        <v>-</v>
      </c>
      <c r="D6" s="1" t="str">
        <f>_xlfn.IFNA(INDEX(총합!$A$2:$A$36,MATCH(Sheet9!$A6,총합!D$2:D$36,0)),"-")</f>
        <v>A.D.P</v>
      </c>
      <c r="E6" s="1" t="str">
        <f>_xlfn.IFNA(INDEX(총합!$A$2:$A$36,MATCH(Sheet9!$A6,총합!E$2:E$36,0)),"-")</f>
        <v>-</v>
      </c>
      <c r="F6" s="1" t="str">
        <f>_xlfn.IFNA(INDEX(총합!$A$2:$A$36,MATCH(Sheet9!$A6,총합!F$2:F$36,0)),"-")</f>
        <v>제사장</v>
      </c>
      <c r="G6" s="1" t="str">
        <f>_xlfn.IFNA(INDEX(총합!$A$2:$A$36,MATCH(Sheet9!$A6,총합!G$2:G$36,0)),"-")</f>
        <v>-</v>
      </c>
      <c r="H6" s="1" t="str">
        <f>_xlfn.IFNA(INDEX(총합!$A$2:$A$36,MATCH(Sheet9!$A6,총합!H$2:H$36,0)),"-")</f>
        <v>제사장</v>
      </c>
      <c r="I6" s="1" t="str">
        <f>_xlfn.IFNA(INDEX(총합!$A$2:$A$36,MATCH(Sheet9!$A6,총합!I$2:I$36,0)),"-")</f>
        <v>-</v>
      </c>
      <c r="J6" s="1" t="str">
        <f>_xlfn.IFNA(INDEX(총합!$A$2:$A$36,MATCH(Sheet9!$A6,총합!J$2:J$36,0)),"-")</f>
        <v>선택</v>
      </c>
      <c r="K6" s="1" t="str">
        <f>_xlfn.IFNA(INDEX(총합!$A$2:$A$36,MATCH(Sheet9!$A6,총합!K$2:K$36,0)),"-")</f>
        <v>-</v>
      </c>
      <c r="L6" s="1" t="str">
        <f>_xlfn.IFNA(INDEX(총합!$A$2:$A$36,MATCH(Sheet9!$A6,총합!L$2:L$36,0)),"-")</f>
        <v>-</v>
      </c>
      <c r="M6" s="1" t="str">
        <f>_xlfn.IFNA(INDEX(총합!$A$2:$A$36,MATCH(Sheet9!$A6,총합!M$2:M$36,0)),"-")</f>
        <v>-</v>
      </c>
      <c r="N6" s="1" t="str">
        <f>_xlfn.IFNA(INDEX(총합!$A$2:$A$36,MATCH(Sheet9!$A6,총합!N$2:N$36,0)),"-")</f>
        <v>술식</v>
      </c>
      <c r="O6" s="1" t="str">
        <f>_xlfn.IFNA(INDEX(총합!$A$2:$A$36,MATCH(Sheet9!$A6,총합!O$2:O$36,0)),"-")</f>
        <v>-</v>
      </c>
      <c r="P6" s="1" t="str">
        <f>_xlfn.IFNA(INDEX(총합!$A$2:$A$36,MATCH(Sheet9!$A6,총합!P$2:P$36,0)),"-")</f>
        <v>정령</v>
      </c>
      <c r="Q6" s="1" t="str">
        <f>_xlfn.IFNA(INDEX(총합!$A$2:$A$36,MATCH(Sheet9!$A6,총합!Q$2:Q$36,0)),"-")</f>
        <v>-</v>
      </c>
      <c r="R6" s="1" t="str">
        <f>_xlfn.IFNA(INDEX(총합!$A$2:$A$36,MATCH(Sheet9!$A6,총합!R$2:R$36,0)),"-")</f>
        <v>심연</v>
      </c>
      <c r="S6" s="1" t="str">
        <f>_xlfn.IFNA(INDEX(총합!$A$2:$A$36,MATCH(Sheet9!$A6,총합!S$2:S$36,0)),"-")</f>
        <v>-</v>
      </c>
      <c r="T6" s="1" t="str">
        <f>_xlfn.IFNA(INDEX(총합!$A$2:$A$36,MATCH(Sheet9!$A6,총합!T$2:T$36,0)),"-")</f>
        <v>흑마</v>
      </c>
      <c r="U6" s="1" t="str">
        <f>_xlfn.IFNA(INDEX(총합!$A$2:$A$36,MATCH(Sheet9!$A6,총합!U$2:U$36,0)),"-")</f>
        <v>-</v>
      </c>
      <c r="V6" s="1" t="str">
        <f>_xlfn.IFNA(INDEX(총합!$A$2:$A$36,MATCH(Sheet9!$A6,총합!V$2:V$36,0)),"-")</f>
        <v>군신</v>
      </c>
      <c r="W6" s="6" t="str">
        <f>_xlfn.IFNA(INDEX(총합!$A$2:$A$36,MATCH(Sheet9!$A6,총합!W$2:W$36,0)),"-")</f>
        <v>-</v>
      </c>
    </row>
    <row r="7" spans="1:23" x14ac:dyDescent="0.4">
      <c r="A7" s="16" t="s">
        <v>50</v>
      </c>
      <c r="B7" s="2" t="str">
        <f>_xlfn.IFNA(INDEX(총합!$A$2:$A$36,MATCH(Sheet9!$A7,총합!B$2:B$36,0)),"-")</f>
        <v>무희</v>
      </c>
      <c r="C7" s="1" t="str">
        <f>_xlfn.IFNA(INDEX(총합!$A$2:$A$36,MATCH(Sheet9!$A7,총합!C$2:C$36,0)),"-")</f>
        <v>마법사</v>
      </c>
      <c r="D7" s="1" t="str">
        <f>_xlfn.IFNA(INDEX(총합!$A$2:$A$36,MATCH(Sheet9!$A7,총합!D$2:D$36,0)),"-")</f>
        <v>-</v>
      </c>
      <c r="E7" s="1" t="str">
        <f>_xlfn.IFNA(INDEX(총합!$A$2:$A$36,MATCH(Sheet9!$A7,총합!E$2:E$36,0)),"-")</f>
        <v>흐름</v>
      </c>
      <c r="F7" s="1" t="str">
        <f>_xlfn.IFNA(INDEX(총합!$A$2:$A$36,MATCH(Sheet9!$A7,총합!F$2:F$36,0)),"-")</f>
        <v>-</v>
      </c>
      <c r="G7" s="1" t="str">
        <f>_xlfn.IFNA(INDEX(총합!$A$2:$A$36,MATCH(Sheet9!$A7,총합!G$2:G$36,0)),"-")</f>
        <v>마법사</v>
      </c>
      <c r="H7" s="1" t="str">
        <f>_xlfn.IFNA(INDEX(총합!$A$2:$A$36,MATCH(Sheet9!$A7,총합!H$2:H$36,0)),"-")</f>
        <v>그림자</v>
      </c>
      <c r="I7" s="1" t="str">
        <f>_xlfn.IFNA(INDEX(총합!$A$2:$A$36,MATCH(Sheet9!$A7,총합!I$2:I$36,0)),"-")</f>
        <v>대자연</v>
      </c>
      <c r="J7" s="1" t="str">
        <f>_xlfn.IFNA(INDEX(총합!$A$2:$A$36,MATCH(Sheet9!$A7,총합!J$2:J$36,0)),"-")</f>
        <v>트로피카</v>
      </c>
      <c r="K7" s="1" t="str">
        <f>_xlfn.IFNA(INDEX(총합!$A$2:$A$36,MATCH(Sheet9!$A7,총합!K$2:K$36,0)),"-")</f>
        <v>마법사</v>
      </c>
      <c r="L7" s="1" t="str">
        <f>_xlfn.IFNA(INDEX(총합!$A$2:$A$36,MATCH(Sheet9!$A7,총합!L$2:L$36,0)),"-")</f>
        <v>-</v>
      </c>
      <c r="M7" s="1" t="str">
        <f>_xlfn.IFNA(INDEX(총합!$A$2:$A$36,MATCH(Sheet9!$A7,총합!M$2:M$36,0)),"-")</f>
        <v>기구</v>
      </c>
      <c r="N7" s="1" t="str">
        <f>_xlfn.IFNA(INDEX(총합!$A$2:$A$36,MATCH(Sheet9!$A7,총합!N$2:N$36,0)),"-")</f>
        <v>-</v>
      </c>
      <c r="O7" s="1" t="str">
        <f>_xlfn.IFNA(INDEX(총합!$A$2:$A$36,MATCH(Sheet9!$A7,총합!O$2:O$36,0)),"-")</f>
        <v>-</v>
      </c>
      <c r="P7" s="1" t="str">
        <f>_xlfn.IFNA(INDEX(총합!$A$2:$A$36,MATCH(Sheet9!$A7,총합!P$2:P$36,0)),"-")</f>
        <v>-</v>
      </c>
      <c r="Q7" s="1" t="str">
        <f>_xlfn.IFNA(INDEX(총합!$A$2:$A$36,MATCH(Sheet9!$A7,총합!Q$2:Q$36,0)),"-")</f>
        <v>-</v>
      </c>
      <c r="R7" s="1" t="str">
        <f>_xlfn.IFNA(INDEX(총합!$A$2:$A$36,MATCH(Sheet9!$A7,총합!R$2:R$36,0)),"-")</f>
        <v>황혼</v>
      </c>
      <c r="S7" s="1" t="str">
        <f>_xlfn.IFNA(INDEX(총합!$A$2:$A$36,MATCH(Sheet9!$A7,총합!S$2:S$36,0)),"-")</f>
        <v>-</v>
      </c>
      <c r="T7" s="1" t="str">
        <f>_xlfn.IFNA(INDEX(총합!$A$2:$A$36,MATCH(Sheet9!$A7,총합!T$2:T$36,0)),"-")</f>
        <v>광란</v>
      </c>
      <c r="U7" s="1" t="str">
        <f>_xlfn.IFNA(INDEX(총합!$A$2:$A$36,MATCH(Sheet9!$A7,총합!U$2:U$36,0)),"-")</f>
        <v>-</v>
      </c>
      <c r="V7" s="1" t="str">
        <f>_xlfn.IFNA(INDEX(총합!$A$2:$A$36,MATCH(Sheet9!$A7,총합!V$2:V$36,0)),"-")</f>
        <v>영보</v>
      </c>
      <c r="W7" s="6" t="str">
        <f>_xlfn.IFNA(INDEX(총합!$A$2:$A$36,MATCH(Sheet9!$A7,총합!W$2:W$36,0)),"-")</f>
        <v>-</v>
      </c>
    </row>
    <row r="8" spans="1:23" x14ac:dyDescent="0.4">
      <c r="A8" s="16" t="s">
        <v>66</v>
      </c>
      <c r="B8" s="2" t="str">
        <f>_xlfn.IFNA(INDEX(총합!$A$2:$A$36,MATCH(Sheet9!$A8,총합!B$2:B$36,0)),"-")</f>
        <v>황혼</v>
      </c>
      <c r="C8" s="1" t="str">
        <f>_xlfn.IFNA(INDEX(총합!$A$2:$A$36,MATCH(Sheet9!$A8,총합!C$2:C$36,0)),"-")</f>
        <v>분노</v>
      </c>
      <c r="D8" s="1" t="str">
        <f>_xlfn.IFNA(INDEX(총합!$A$2:$A$36,MATCH(Sheet9!$A8,총합!D$2:D$36,0)),"-")</f>
        <v>그림자</v>
      </c>
      <c r="E8" s="1" t="str">
        <f>_xlfn.IFNA(INDEX(총합!$A$2:$A$36,MATCH(Sheet9!$A8,총합!E$2:E$36,0)),"-")</f>
        <v>대자연</v>
      </c>
      <c r="F8" s="1" t="str">
        <f>_xlfn.IFNA(INDEX(총합!$A$2:$A$36,MATCH(Sheet9!$A8,총합!F$2:F$36,0)),"-")</f>
        <v>-</v>
      </c>
      <c r="G8" s="1" t="str">
        <f>_xlfn.IFNA(INDEX(총합!$A$2:$A$36,MATCH(Sheet9!$A8,총합!G$2:G$36,0)),"-")</f>
        <v>대자연</v>
      </c>
      <c r="H8" s="1" t="str">
        <f>_xlfn.IFNA(INDEX(총합!$A$2:$A$36,MATCH(Sheet9!$A8,총합!H$2:H$36,0)),"-")</f>
        <v>베테랑</v>
      </c>
      <c r="I8" s="1" t="str">
        <f>_xlfn.IFNA(INDEX(총합!$A$2:$A$36,MATCH(Sheet9!$A8,총합!I$2:I$36,0)),"-")</f>
        <v>-</v>
      </c>
      <c r="J8" s="1" t="str">
        <f>_xlfn.IFNA(INDEX(총합!$A$2:$A$36,MATCH(Sheet9!$A8,총합!J$2:J$36,0)),"-")</f>
        <v>집행자</v>
      </c>
      <c r="K8" s="1" t="str">
        <f>_xlfn.IFNA(INDEX(총합!$A$2:$A$36,MATCH(Sheet9!$A8,총합!K$2:K$36,0)),"-")</f>
        <v>차원</v>
      </c>
      <c r="L8" s="1" t="str">
        <f>_xlfn.IFNA(INDEX(총합!$A$2:$A$36,MATCH(Sheet9!$A8,총합!L$2:L$36,0)),"-")</f>
        <v>황혼</v>
      </c>
      <c r="M8" s="1" t="str">
        <f>_xlfn.IFNA(INDEX(총합!$A$2:$A$36,MATCH(Sheet9!$A8,총합!M$2:M$36,0)),"-")</f>
        <v>정령</v>
      </c>
      <c r="N8" s="1" t="str">
        <f>_xlfn.IFNA(INDEX(총합!$A$2:$A$36,MATCH(Sheet9!$A8,총합!N$2:N$36,0)),"-")</f>
        <v>광란</v>
      </c>
      <c r="O8" s="1" t="str">
        <f>_xlfn.IFNA(INDEX(총합!$A$2:$A$36,MATCH(Sheet9!$A8,총합!O$2:O$36,0)),"-")</f>
        <v>-</v>
      </c>
      <c r="P8" s="1" t="str">
        <f>_xlfn.IFNA(INDEX(총합!$A$2:$A$36,MATCH(Sheet9!$A8,총합!P$2:P$36,0)),"-")</f>
        <v>먼동</v>
      </c>
      <c r="Q8" s="1" t="str">
        <f>_xlfn.IFNA(INDEX(총합!$A$2:$A$36,MATCH(Sheet9!$A8,총합!Q$2:Q$36,0)),"-")</f>
        <v>운명</v>
      </c>
      <c r="R8" s="1" t="str">
        <f>_xlfn.IFNA(INDEX(총합!$A$2:$A$36,MATCH(Sheet9!$A8,총합!R$2:R$36,0)),"-")</f>
        <v>-</v>
      </c>
      <c r="S8" s="1" t="str">
        <f>_xlfn.IFNA(INDEX(총합!$A$2:$A$36,MATCH(Sheet9!$A8,총합!S$2:S$36,0)),"-")</f>
        <v>분노</v>
      </c>
      <c r="T8" s="1" t="str">
        <f>_xlfn.IFNA(INDEX(총합!$A$2:$A$36,MATCH(Sheet9!$A8,총합!T$2:T$36,0)),"-")</f>
        <v>-</v>
      </c>
      <c r="U8" s="1" t="str">
        <f>_xlfn.IFNA(INDEX(총합!$A$2:$A$36,MATCH(Sheet9!$A8,총합!U$2:U$36,0)),"-")</f>
        <v>군신</v>
      </c>
      <c r="V8" s="1" t="str">
        <f>_xlfn.IFNA(INDEX(총합!$A$2:$A$36,MATCH(Sheet9!$A8,총합!V$2:V$36,0)),"-")</f>
        <v>-</v>
      </c>
      <c r="W8" s="6" t="str">
        <f>_xlfn.IFNA(INDEX(총합!$A$2:$A$36,MATCH(Sheet9!$A8,총합!W$2:W$36,0)),"-")</f>
        <v>-</v>
      </c>
    </row>
    <row r="9" spans="1:23" x14ac:dyDescent="0.4">
      <c r="A9" s="16" t="s">
        <v>60</v>
      </c>
      <c r="B9" s="2" t="str">
        <f>_xlfn.IFNA(INDEX(총합!$A$2:$A$36,MATCH(Sheet9!$A9,총합!B$2:B$36,0)),"-")</f>
        <v>그림자</v>
      </c>
      <c r="C9" s="1" t="str">
        <f>_xlfn.IFNA(INDEX(총합!$A$2:$A$36,MATCH(Sheet9!$A9,총합!C$2:C$36,0)),"-")</f>
        <v>사막</v>
      </c>
      <c r="D9" s="1" t="str">
        <f>_xlfn.IFNA(INDEX(총합!$A$2:$A$36,MATCH(Sheet9!$A9,총합!D$2:D$36,0)),"-")</f>
        <v>무희</v>
      </c>
      <c r="E9" s="1" t="str">
        <f>_xlfn.IFNA(INDEX(총합!$A$2:$A$36,MATCH(Sheet9!$A9,총합!E$2:E$36,0)),"-")</f>
        <v>사막</v>
      </c>
      <c r="F9" s="1" t="str">
        <f>_xlfn.IFNA(INDEX(총합!$A$2:$A$36,MATCH(Sheet9!$A9,총합!F$2:F$36,0)),"-")</f>
        <v>역작</v>
      </c>
      <c r="G9" s="1" t="str">
        <f>_xlfn.IFNA(INDEX(총합!$A$2:$A$36,MATCH(Sheet9!$A9,총합!G$2:G$36,0)),"-")</f>
        <v>흐름</v>
      </c>
      <c r="H9" s="1" t="str">
        <f>_xlfn.IFNA(INDEX(총합!$A$2:$A$36,MATCH(Sheet9!$A9,총합!H$2:H$36,0)),"-")</f>
        <v>-</v>
      </c>
      <c r="I9" s="1" t="str">
        <f>_xlfn.IFNA(INDEX(총합!$A$2:$A$36,MATCH(Sheet9!$A9,총합!I$2:I$36,0)),"-")</f>
        <v>-</v>
      </c>
      <c r="J9" s="1" t="str">
        <f>_xlfn.IFNA(INDEX(총합!$A$2:$A$36,MATCH(Sheet9!$A9,총합!J$2:J$36,0)),"-")</f>
        <v>그림자</v>
      </c>
      <c r="K9" s="1" t="str">
        <f>_xlfn.IFNA(INDEX(총합!$A$2:$A$36,MATCH(Sheet9!$A9,총합!K$2:K$36,0)),"-")</f>
        <v>사막</v>
      </c>
      <c r="L9" s="1" t="str">
        <f>_xlfn.IFNA(INDEX(총합!$A$2:$A$36,MATCH(Sheet9!$A9,총합!L$2:L$36,0)),"-")</f>
        <v>먼동</v>
      </c>
      <c r="M9" s="1" t="str">
        <f>_xlfn.IFNA(INDEX(총합!$A$2:$A$36,MATCH(Sheet9!$A9,총합!M$2:M$36,0)),"-")</f>
        <v>분노</v>
      </c>
      <c r="N9" s="1" t="str">
        <f>_xlfn.IFNA(INDEX(총합!$A$2:$A$36,MATCH(Sheet9!$A9,총합!N$2:N$36,0)),"-")</f>
        <v>-</v>
      </c>
      <c r="O9" s="1" t="str">
        <f>_xlfn.IFNA(INDEX(총합!$A$2:$A$36,MATCH(Sheet9!$A9,총합!O$2:O$36,0)),"-")</f>
        <v>-</v>
      </c>
      <c r="P9" s="1" t="str">
        <f>_xlfn.IFNA(INDEX(총합!$A$2:$A$36,MATCH(Sheet9!$A9,총합!P$2:P$36,0)),"-")</f>
        <v>-</v>
      </c>
      <c r="Q9" s="1" t="str">
        <f>_xlfn.IFNA(INDEX(총합!$A$2:$A$36,MATCH(Sheet9!$A9,총합!Q$2:Q$36,0)),"-")</f>
        <v>-</v>
      </c>
      <c r="R9" s="1" t="str">
        <f>_xlfn.IFNA(INDEX(총합!$A$2:$A$36,MATCH(Sheet9!$A9,총합!R$2:R$36,0)),"-")</f>
        <v>영보</v>
      </c>
      <c r="S9" s="1" t="str">
        <f>_xlfn.IFNA(INDEX(총합!$A$2:$A$36,MATCH(Sheet9!$A9,총합!S$2:S$36,0)),"-")</f>
        <v>-</v>
      </c>
      <c r="T9" s="1" t="str">
        <f>_xlfn.IFNA(INDEX(총합!$A$2:$A$36,MATCH(Sheet9!$A9,총합!T$2:T$36,0)),"-")</f>
        <v>-</v>
      </c>
      <c r="U9" s="1" t="str">
        <f>_xlfn.IFNA(INDEX(총합!$A$2:$A$36,MATCH(Sheet9!$A9,총합!U$2:U$36,0)),"-")</f>
        <v>-</v>
      </c>
      <c r="V9" s="1" t="str">
        <f>_xlfn.IFNA(INDEX(총합!$A$2:$A$36,MATCH(Sheet9!$A9,총합!V$2:V$36,0)),"-")</f>
        <v>나락</v>
      </c>
      <c r="W9" s="6" t="str">
        <f>_xlfn.IFNA(INDEX(총합!$A$2:$A$36,MATCH(Sheet9!$A9,총합!W$2:W$36,0)),"-")</f>
        <v>차원</v>
      </c>
    </row>
    <row r="10" spans="1:23" x14ac:dyDescent="0.4">
      <c r="A10" s="16" t="s">
        <v>56</v>
      </c>
      <c r="B10" s="2" t="str">
        <f>_xlfn.IFNA(INDEX(총합!$A$2:$A$36,MATCH(Sheet9!$A10,총합!B$2:B$36,0)),"-")</f>
        <v>-</v>
      </c>
      <c r="C10" s="1" t="str">
        <f>_xlfn.IFNA(INDEX(총합!$A$2:$A$36,MATCH(Sheet9!$A10,총합!C$2:C$36,0)),"-")</f>
        <v>-</v>
      </c>
      <c r="D10" s="1" t="str">
        <f>_xlfn.IFNA(INDEX(총합!$A$2:$A$36,MATCH(Sheet9!$A10,총합!D$2:D$36,0)),"-")</f>
        <v>광란</v>
      </c>
      <c r="E10" s="1" t="str">
        <f>_xlfn.IFNA(INDEX(총합!$A$2:$A$36,MATCH(Sheet9!$A10,총합!E$2:E$36,0)),"-")</f>
        <v>개악</v>
      </c>
      <c r="F10" s="1" t="str">
        <f>_xlfn.IFNA(INDEX(총합!$A$2:$A$36,MATCH(Sheet9!$A10,총합!F$2:F$36,0)),"-")</f>
        <v>무희</v>
      </c>
      <c r="G10" s="1" t="str">
        <f>_xlfn.IFNA(INDEX(총합!$A$2:$A$36,MATCH(Sheet9!$A10,총합!G$2:G$36,0)),"-")</f>
        <v>-</v>
      </c>
      <c r="H10" s="1" t="str">
        <f>_xlfn.IFNA(INDEX(총합!$A$2:$A$36,MATCH(Sheet9!$A10,총합!H$2:H$36,0)),"-")</f>
        <v>무희</v>
      </c>
      <c r="I10" s="1" t="str">
        <f>_xlfn.IFNA(INDEX(총합!$A$2:$A$36,MATCH(Sheet9!$A10,총합!I$2:I$36,0)),"-")</f>
        <v>마법사</v>
      </c>
      <c r="J10" s="1" t="str">
        <f>_xlfn.IFNA(INDEX(총합!$A$2:$A$36,MATCH(Sheet9!$A10,총합!J$2:J$36,0)),"-")</f>
        <v>나락</v>
      </c>
      <c r="K10" s="1" t="str">
        <f>_xlfn.IFNA(INDEX(총합!$A$2:$A$36,MATCH(Sheet9!$A10,총합!K$2:K$36,0)),"-")</f>
        <v>-</v>
      </c>
      <c r="L10" s="1" t="str">
        <f>_xlfn.IFNA(INDEX(총합!$A$2:$A$36,MATCH(Sheet9!$A10,총합!L$2:L$36,0)),"-")</f>
        <v>-</v>
      </c>
      <c r="M10" s="1" t="str">
        <f>_xlfn.IFNA(INDEX(총합!$A$2:$A$36,MATCH(Sheet9!$A10,총합!M$2:M$36,0)),"-")</f>
        <v>-</v>
      </c>
      <c r="N10" s="1" t="str">
        <f>_xlfn.IFNA(INDEX(총합!$A$2:$A$36,MATCH(Sheet9!$A10,총합!N$2:N$36,0)),"-")</f>
        <v>트앵</v>
      </c>
      <c r="O10" s="1" t="str">
        <f>_xlfn.IFNA(INDEX(총합!$A$2:$A$36,MATCH(Sheet9!$A10,총합!O$2:O$36,0)),"-")</f>
        <v>정령</v>
      </c>
      <c r="P10" s="1" t="str">
        <f>_xlfn.IFNA(INDEX(총합!$A$2:$A$36,MATCH(Sheet9!$A10,총합!P$2:P$36,0)),"-")</f>
        <v>-</v>
      </c>
      <c r="Q10" s="1" t="str">
        <f>_xlfn.IFNA(INDEX(총합!$A$2:$A$36,MATCH(Sheet9!$A10,총합!Q$2:Q$36,0)),"-")</f>
        <v>정령</v>
      </c>
      <c r="R10" s="1" t="str">
        <f>_xlfn.IFNA(INDEX(총합!$A$2:$A$36,MATCH(Sheet9!$A10,총합!R$2:R$36,0)),"-")</f>
        <v>-</v>
      </c>
      <c r="S10" s="1" t="str">
        <f>_xlfn.IFNA(INDEX(총합!$A$2:$A$36,MATCH(Sheet9!$A10,총합!S$2:S$36,0)),"-")</f>
        <v>-</v>
      </c>
      <c r="T10" s="1" t="str">
        <f>_xlfn.IFNA(INDEX(총합!$A$2:$A$36,MATCH(Sheet9!$A10,총합!T$2:T$36,0)),"-")</f>
        <v>-</v>
      </c>
      <c r="U10" s="1" t="str">
        <f>_xlfn.IFNA(INDEX(총합!$A$2:$A$36,MATCH(Sheet9!$A10,총합!U$2:U$36,0)),"-")</f>
        <v>시전</v>
      </c>
      <c r="V10" s="1" t="str">
        <f>_xlfn.IFNA(INDEX(총합!$A$2:$A$36,MATCH(Sheet9!$A10,총합!V$2:V$36,0)),"-")</f>
        <v>-</v>
      </c>
      <c r="W10" s="6" t="str">
        <f>_xlfn.IFNA(INDEX(총합!$A$2:$A$36,MATCH(Sheet9!$A10,총합!W$2:W$36,0)),"-")</f>
        <v>운명</v>
      </c>
    </row>
    <row r="11" spans="1:23" x14ac:dyDescent="0.4">
      <c r="A11" s="16" t="s">
        <v>54</v>
      </c>
      <c r="B11" s="2" t="str">
        <f>_xlfn.IFNA(INDEX(총합!$A$2:$A$36,MATCH(Sheet9!$A11,총합!B$2:B$36,0)),"-")</f>
        <v>집행자</v>
      </c>
      <c r="C11" s="1" t="str">
        <f>_xlfn.IFNA(INDEX(총합!$A$2:$A$36,MATCH(Sheet9!$A11,총합!C$2:C$36,0)),"-")</f>
        <v>기구</v>
      </c>
      <c r="D11" s="1" t="str">
        <f>_xlfn.IFNA(INDEX(총합!$A$2:$A$36,MATCH(Sheet9!$A11,총합!D$2:D$36,0)),"-")</f>
        <v>집행자</v>
      </c>
      <c r="E11" s="1" t="str">
        <f>_xlfn.IFNA(INDEX(총합!$A$2:$A$36,MATCH(Sheet9!$A11,총합!E$2:E$36,0)),"-")</f>
        <v>마법사</v>
      </c>
      <c r="F11" s="1" t="str">
        <f>_xlfn.IFNA(INDEX(총합!$A$2:$A$36,MATCH(Sheet9!$A11,총합!F$2:F$36,0)),"-")</f>
        <v>-</v>
      </c>
      <c r="G11" s="1" t="str">
        <f>_xlfn.IFNA(INDEX(총합!$A$2:$A$36,MATCH(Sheet9!$A11,총합!G$2:G$36,0)),"-")</f>
        <v>사막</v>
      </c>
      <c r="H11" s="1" t="str">
        <f>_xlfn.IFNA(INDEX(총합!$A$2:$A$36,MATCH(Sheet9!$A11,총합!H$2:H$36,0)),"-")</f>
        <v>트로피카</v>
      </c>
      <c r="I11" s="1" t="str">
        <f>_xlfn.IFNA(INDEX(총합!$A$2:$A$36,MATCH(Sheet9!$A11,총합!I$2:I$36,0)),"-")</f>
        <v>-</v>
      </c>
      <c r="J11" s="1" t="str">
        <f>_xlfn.IFNA(INDEX(총합!$A$2:$A$36,MATCH(Sheet9!$A11,총합!J$2:J$36,0)),"-")</f>
        <v>무희</v>
      </c>
      <c r="K11" s="1" t="str">
        <f>_xlfn.IFNA(INDEX(총합!$A$2:$A$36,MATCH(Sheet9!$A11,총합!K$2:K$36,0)),"-")</f>
        <v>흐름</v>
      </c>
      <c r="L11" s="1" t="str">
        <f>_xlfn.IFNA(INDEX(총합!$A$2:$A$36,MATCH(Sheet9!$A11,총합!L$2:L$36,0)),"-")</f>
        <v>-</v>
      </c>
      <c r="M11" s="1" t="str">
        <f>_xlfn.IFNA(INDEX(총합!$A$2:$A$36,MATCH(Sheet9!$A11,총합!M$2:M$36,0)),"-")</f>
        <v>-</v>
      </c>
      <c r="N11" s="1" t="str">
        <f>_xlfn.IFNA(INDEX(총합!$A$2:$A$36,MATCH(Sheet9!$A11,총합!N$2:N$36,0)),"-")</f>
        <v>먼동</v>
      </c>
      <c r="O11" s="1" t="str">
        <f>_xlfn.IFNA(INDEX(총합!$A$2:$A$36,MATCH(Sheet9!$A11,총합!O$2:O$36,0)),"-")</f>
        <v>흑마</v>
      </c>
      <c r="P11" s="1" t="str">
        <f>_xlfn.IFNA(INDEX(총합!$A$2:$A$36,MATCH(Sheet9!$A11,총합!P$2:P$36,0)),"-")</f>
        <v>나락</v>
      </c>
      <c r="Q11" s="1" t="str">
        <f>_xlfn.IFNA(INDEX(총합!$A$2:$A$36,MATCH(Sheet9!$A11,총합!Q$2:Q$36,0)),"-")</f>
        <v>-</v>
      </c>
      <c r="R11" s="1" t="str">
        <f>_xlfn.IFNA(INDEX(총합!$A$2:$A$36,MATCH(Sheet9!$A11,총합!R$2:R$36,0)),"-")</f>
        <v>-</v>
      </c>
      <c r="S11" s="1" t="str">
        <f>_xlfn.IFNA(INDEX(총합!$A$2:$A$36,MATCH(Sheet9!$A11,총합!S$2:S$36,0)),"-")</f>
        <v>시전</v>
      </c>
      <c r="T11" s="1" t="str">
        <f>_xlfn.IFNA(INDEX(총합!$A$2:$A$36,MATCH(Sheet9!$A11,총합!T$2:T$36,0)),"-")</f>
        <v>영보</v>
      </c>
      <c r="U11" s="1" t="str">
        <f>_xlfn.IFNA(INDEX(총합!$A$2:$A$36,MATCH(Sheet9!$A11,총합!U$2:U$36,0)),"-")</f>
        <v>-</v>
      </c>
      <c r="V11" s="1" t="str">
        <f>_xlfn.IFNA(INDEX(총합!$A$2:$A$36,MATCH(Sheet9!$A11,총합!V$2:V$36,0)),"-")</f>
        <v>-</v>
      </c>
      <c r="W11" s="6" t="str">
        <f>_xlfn.IFNA(INDEX(총합!$A$2:$A$36,MATCH(Sheet9!$A11,총합!W$2:W$36,0)),"-")</f>
        <v>시전</v>
      </c>
    </row>
    <row r="12" spans="1:23" x14ac:dyDescent="0.4">
      <c r="A12" s="16" t="s">
        <v>48</v>
      </c>
      <c r="B12" s="2" t="str">
        <f>_xlfn.IFNA(INDEX(총합!$A$2:$A$36,MATCH(Sheet9!$A12,총합!B$2:B$36,0)),"-")</f>
        <v>-</v>
      </c>
      <c r="C12" s="1" t="str">
        <f>_xlfn.IFNA(INDEX(총합!$A$2:$A$36,MATCH(Sheet9!$A12,총합!C$2:C$36,0)),"-")</f>
        <v>그림자</v>
      </c>
      <c r="D12" s="1" t="str">
        <f>_xlfn.IFNA(INDEX(총합!$A$2:$A$36,MATCH(Sheet9!$A12,총합!D$2:D$36,0)),"-")</f>
        <v>-</v>
      </c>
      <c r="E12" s="1" t="str">
        <f>_xlfn.IFNA(INDEX(총합!$A$2:$A$36,MATCH(Sheet9!$A12,총합!E$2:E$36,0)),"-")</f>
        <v>선택</v>
      </c>
      <c r="F12" s="1" t="str">
        <f>_xlfn.IFNA(INDEX(총합!$A$2:$A$36,MATCH(Sheet9!$A12,총합!F$2:F$36,0)),"-")</f>
        <v>-</v>
      </c>
      <c r="G12" s="1" t="str">
        <f>_xlfn.IFNA(INDEX(총합!$A$2:$A$36,MATCH(Sheet9!$A12,총합!G$2:G$36,0)),"-")</f>
        <v>A.D.P</v>
      </c>
      <c r="H12" s="1" t="str">
        <f>_xlfn.IFNA(INDEX(총합!$A$2:$A$36,MATCH(Sheet9!$A12,총합!H$2:H$36,0)),"-")</f>
        <v>-</v>
      </c>
      <c r="I12" s="1" t="str">
        <f>_xlfn.IFNA(INDEX(총합!$A$2:$A$36,MATCH(Sheet9!$A12,총합!I$2:I$36,0)),"-")</f>
        <v>무희</v>
      </c>
      <c r="J12" s="1" t="str">
        <f>_xlfn.IFNA(INDEX(총합!$A$2:$A$36,MATCH(Sheet9!$A12,총합!J$2:J$36,0)),"-")</f>
        <v>-</v>
      </c>
      <c r="K12" s="1" t="str">
        <f>_xlfn.IFNA(INDEX(총합!$A$2:$A$36,MATCH(Sheet9!$A12,총합!K$2:K$36,0)),"-")</f>
        <v>제사장</v>
      </c>
      <c r="L12" s="1" t="str">
        <f>_xlfn.IFNA(INDEX(총합!$A$2:$A$36,MATCH(Sheet9!$A12,총합!L$2:L$36,0)),"-")</f>
        <v>-</v>
      </c>
      <c r="M12" s="1" t="str">
        <f>_xlfn.IFNA(INDEX(총합!$A$2:$A$36,MATCH(Sheet9!$A12,총합!M$2:M$36,0)),"-")</f>
        <v>황혼</v>
      </c>
      <c r="N12" s="1" t="str">
        <f>_xlfn.IFNA(INDEX(총합!$A$2:$A$36,MATCH(Sheet9!$A12,총합!N$2:N$36,0)),"-")</f>
        <v>-</v>
      </c>
      <c r="O12" s="1" t="str">
        <f>_xlfn.IFNA(INDEX(총합!$A$2:$A$36,MATCH(Sheet9!$A12,총합!O$2:O$36,0)),"-")</f>
        <v>-</v>
      </c>
      <c r="P12" s="1" t="str">
        <f>_xlfn.IFNA(INDEX(총합!$A$2:$A$36,MATCH(Sheet9!$A12,총합!P$2:P$36,0)),"-")</f>
        <v>-</v>
      </c>
      <c r="Q12" s="1" t="str">
        <f>_xlfn.IFNA(INDEX(총합!$A$2:$A$36,MATCH(Sheet9!$A12,총합!Q$2:Q$36,0)),"-")</f>
        <v>트앵</v>
      </c>
      <c r="R12" s="1" t="str">
        <f>_xlfn.IFNA(INDEX(총합!$A$2:$A$36,MATCH(Sheet9!$A12,총합!R$2:R$36,0)),"-")</f>
        <v>-</v>
      </c>
      <c r="S12" s="1" t="str">
        <f>_xlfn.IFNA(INDEX(총합!$A$2:$A$36,MATCH(Sheet9!$A12,총합!S$2:S$36,0)),"-")</f>
        <v>-</v>
      </c>
      <c r="T12" s="1" t="str">
        <f>_xlfn.IFNA(INDEX(총합!$A$2:$A$36,MATCH(Sheet9!$A12,총합!T$2:T$36,0)),"-")</f>
        <v>-</v>
      </c>
      <c r="U12" s="1" t="str">
        <f>_xlfn.IFNA(INDEX(총합!$A$2:$A$36,MATCH(Sheet9!$A12,총합!U$2:U$36,0)),"-")</f>
        <v>싱크로</v>
      </c>
      <c r="V12" s="1" t="str">
        <f>_xlfn.IFNA(INDEX(총합!$A$2:$A$36,MATCH(Sheet9!$A12,총합!V$2:V$36,0)),"-")</f>
        <v>-</v>
      </c>
      <c r="W12" s="6" t="str">
        <f>_xlfn.IFNA(INDEX(총합!$A$2:$A$36,MATCH(Sheet9!$A12,총합!W$2:W$36,0)),"-")</f>
        <v>군신</v>
      </c>
    </row>
    <row r="13" spans="1:23" x14ac:dyDescent="0.4">
      <c r="A13" s="16" t="s">
        <v>43</v>
      </c>
      <c r="B13" s="2" t="str">
        <f>_xlfn.IFNA(INDEX(총합!$A$2:$A$36,MATCH(Sheet9!$A13,총합!B$2:B$36,0)),"-")</f>
        <v>-</v>
      </c>
      <c r="C13" s="1" t="str">
        <f>_xlfn.IFNA(INDEX(총합!$A$2:$A$36,MATCH(Sheet9!$A13,총합!C$2:C$36,0)),"-")</f>
        <v>무희</v>
      </c>
      <c r="D13" s="1" t="str">
        <f>_xlfn.IFNA(INDEX(총합!$A$2:$A$36,MATCH(Sheet9!$A13,총합!D$2:D$36,0)),"-")</f>
        <v>-</v>
      </c>
      <c r="E13" s="1" t="str">
        <f>_xlfn.IFNA(INDEX(총합!$A$2:$A$36,MATCH(Sheet9!$A13,총합!E$2:E$36,0)),"-")</f>
        <v>제사장</v>
      </c>
      <c r="F13" s="1" t="str">
        <f>_xlfn.IFNA(INDEX(총합!$A$2:$A$36,MATCH(Sheet9!$A13,총합!F$2:F$36,0)),"-")</f>
        <v>-</v>
      </c>
      <c r="G13" s="1" t="str">
        <f>_xlfn.IFNA(INDEX(총합!$A$2:$A$36,MATCH(Sheet9!$A13,총합!G$2:G$36,0)),"-")</f>
        <v>베테랑</v>
      </c>
      <c r="H13" s="1" t="str">
        <f>_xlfn.IFNA(INDEX(총합!$A$2:$A$36,MATCH(Sheet9!$A13,총합!H$2:H$36,0)),"-")</f>
        <v>-</v>
      </c>
      <c r="I13" s="1" t="str">
        <f>_xlfn.IFNA(INDEX(총합!$A$2:$A$36,MATCH(Sheet9!$A13,총합!I$2:I$36,0)),"-")</f>
        <v>제사장</v>
      </c>
      <c r="J13" s="1" t="str">
        <f>_xlfn.IFNA(INDEX(총합!$A$2:$A$36,MATCH(Sheet9!$A13,총합!J$2:J$36,0)),"-")</f>
        <v>-</v>
      </c>
      <c r="K13" s="1" t="str">
        <f>_xlfn.IFNA(INDEX(총합!$A$2:$A$36,MATCH(Sheet9!$A13,총합!K$2:K$36,0)),"-")</f>
        <v>그림자</v>
      </c>
      <c r="L13" s="1" t="str">
        <f>_xlfn.IFNA(INDEX(총합!$A$2:$A$36,MATCH(Sheet9!$A13,총합!L$2:L$36,0)),"-")</f>
        <v>-</v>
      </c>
      <c r="M13" s="1" t="str">
        <f>_xlfn.IFNA(INDEX(총합!$A$2:$A$36,MATCH(Sheet9!$A13,총합!M$2:M$36,0)),"-")</f>
        <v>먼동</v>
      </c>
      <c r="N13" s="1" t="str">
        <f>_xlfn.IFNA(INDEX(총합!$A$2:$A$36,MATCH(Sheet9!$A13,총합!N$2:N$36,0)),"-")</f>
        <v>-</v>
      </c>
      <c r="O13" s="1" t="str">
        <f>_xlfn.IFNA(INDEX(총합!$A$2:$A$36,MATCH(Sheet9!$A13,총합!O$2:O$36,0)),"-")</f>
        <v>-</v>
      </c>
      <c r="P13" s="1" t="str">
        <f>_xlfn.IFNA(INDEX(총합!$A$2:$A$36,MATCH(Sheet9!$A13,총합!P$2:P$36,0)),"-")</f>
        <v>-</v>
      </c>
      <c r="Q13" s="1" t="str">
        <f>_xlfn.IFNA(INDEX(총합!$A$2:$A$36,MATCH(Sheet9!$A13,총합!Q$2:Q$36,0)),"-")</f>
        <v>술식</v>
      </c>
      <c r="R13" s="1" t="str">
        <f>_xlfn.IFNA(INDEX(총합!$A$2:$A$36,MATCH(Sheet9!$A13,총합!R$2:R$36,0)),"-")</f>
        <v>-</v>
      </c>
      <c r="S13" s="1" t="str">
        <f>_xlfn.IFNA(INDEX(총합!$A$2:$A$36,MATCH(Sheet9!$A13,총합!S$2:S$36,0)),"-")</f>
        <v>-</v>
      </c>
      <c r="T13" s="1" t="str">
        <f>_xlfn.IFNA(INDEX(총합!$A$2:$A$36,MATCH(Sheet9!$A13,총합!T$2:T$36,0)),"-")</f>
        <v>-</v>
      </c>
      <c r="U13" s="1" t="str">
        <f>_xlfn.IFNA(INDEX(총합!$A$2:$A$36,MATCH(Sheet9!$A13,총합!U$2:U$36,0)),"-")</f>
        <v>-</v>
      </c>
      <c r="V13" s="1" t="str">
        <f>_xlfn.IFNA(INDEX(총합!$A$2:$A$36,MATCH(Sheet9!$A13,총합!V$2:V$36,0)),"-")</f>
        <v>-</v>
      </c>
      <c r="W13" s="6" t="str">
        <f>_xlfn.IFNA(INDEX(총합!$A$2:$A$36,MATCH(Sheet9!$A13,총합!W$2:W$36,0)),"-")</f>
        <v>-</v>
      </c>
    </row>
    <row r="14" spans="1:23" x14ac:dyDescent="0.4">
      <c r="A14" s="16" t="s">
        <v>62</v>
      </c>
      <c r="B14" s="2" t="str">
        <f>_xlfn.IFNA(INDEX(총합!$A$2:$A$36,MATCH(Sheet9!$A14,총합!B$2:B$36,0)),"-")</f>
        <v>-</v>
      </c>
      <c r="C14" s="1" t="str">
        <f>_xlfn.IFNA(INDEX(총합!$A$2:$A$36,MATCH(Sheet9!$A14,총합!C$2:C$36,0)),"-")</f>
        <v>집행자</v>
      </c>
      <c r="D14" s="1" t="str">
        <f>_xlfn.IFNA(INDEX(총합!$A$2:$A$36,MATCH(Sheet9!$A14,총합!D$2:D$36,0)),"-")</f>
        <v>-</v>
      </c>
      <c r="E14" s="1" t="str">
        <f>_xlfn.IFNA(INDEX(총합!$A$2:$A$36,MATCH(Sheet9!$A14,총합!E$2:E$36,0)),"-")</f>
        <v>역작</v>
      </c>
      <c r="F14" s="1" t="str">
        <f>_xlfn.IFNA(INDEX(총합!$A$2:$A$36,MATCH(Sheet9!$A14,총합!F$2:F$36,0)),"-")</f>
        <v>-</v>
      </c>
      <c r="G14" s="1" t="str">
        <f>_xlfn.IFNA(INDEX(총합!$A$2:$A$36,MATCH(Sheet9!$A14,총합!G$2:G$36,0)),"-")</f>
        <v>무희</v>
      </c>
      <c r="H14" s="1" t="str">
        <f>_xlfn.IFNA(INDEX(총합!$A$2:$A$36,MATCH(Sheet9!$A14,총합!H$2:H$36,0)),"-")</f>
        <v>-</v>
      </c>
      <c r="I14" s="1" t="str">
        <f>_xlfn.IFNA(INDEX(총합!$A$2:$A$36,MATCH(Sheet9!$A14,총합!I$2:I$36,0)),"-")</f>
        <v>-</v>
      </c>
      <c r="J14" s="1" t="str">
        <f>_xlfn.IFNA(INDEX(총합!$A$2:$A$36,MATCH(Sheet9!$A14,총합!J$2:J$36,0)),"-")</f>
        <v>-</v>
      </c>
      <c r="K14" s="1" t="str">
        <f>_xlfn.IFNA(INDEX(총합!$A$2:$A$36,MATCH(Sheet9!$A14,총합!K$2:K$36,0)),"-")</f>
        <v>집행자</v>
      </c>
      <c r="L14" s="1" t="str">
        <f>_xlfn.IFNA(INDEX(총합!$A$2:$A$36,MATCH(Sheet9!$A14,총합!L$2:L$36,0)),"-")</f>
        <v>-</v>
      </c>
      <c r="M14" s="1" t="str">
        <f>_xlfn.IFNA(INDEX(총합!$A$2:$A$36,MATCH(Sheet9!$A14,총합!M$2:M$36,0)),"-")</f>
        <v>술식</v>
      </c>
      <c r="N14" s="1" t="str">
        <f>_xlfn.IFNA(INDEX(총합!$A$2:$A$36,MATCH(Sheet9!$A14,총합!N$2:N$36,0)),"-")</f>
        <v>-</v>
      </c>
      <c r="O14" s="1" t="str">
        <f>_xlfn.IFNA(INDEX(총합!$A$2:$A$36,MATCH(Sheet9!$A14,총합!O$2:O$36,0)),"-")</f>
        <v>술식</v>
      </c>
      <c r="P14" s="1" t="str">
        <f>_xlfn.IFNA(INDEX(총합!$A$2:$A$36,MATCH(Sheet9!$A14,총합!P$2:P$36,0)),"-")</f>
        <v>-</v>
      </c>
      <c r="Q14" s="1" t="str">
        <f>_xlfn.IFNA(INDEX(총합!$A$2:$A$36,MATCH(Sheet9!$A14,총합!Q$2:Q$36,0)),"-")</f>
        <v>아린</v>
      </c>
      <c r="R14" s="1" t="str">
        <f>_xlfn.IFNA(INDEX(총합!$A$2:$A$36,MATCH(Sheet9!$A14,총합!R$2:R$36,0)),"-")</f>
        <v>-</v>
      </c>
      <c r="S14" s="1" t="str">
        <f>_xlfn.IFNA(INDEX(총합!$A$2:$A$36,MATCH(Sheet9!$A14,총합!S$2:S$36,0)),"-")</f>
        <v>심연</v>
      </c>
      <c r="T14" s="1" t="str">
        <f>_xlfn.IFNA(INDEX(총합!$A$2:$A$36,MATCH(Sheet9!$A14,총합!T$2:T$36,0)),"-")</f>
        <v>-</v>
      </c>
      <c r="U14" s="1" t="str">
        <f>_xlfn.IFNA(INDEX(총합!$A$2:$A$36,MATCH(Sheet9!$A14,총합!U$2:U$36,0)),"-")</f>
        <v>-</v>
      </c>
      <c r="V14" s="1" t="str">
        <f>_xlfn.IFNA(INDEX(총합!$A$2:$A$36,MATCH(Sheet9!$A14,총합!V$2:V$36,0)),"-")</f>
        <v>-</v>
      </c>
      <c r="W14" s="6" t="str">
        <f>_xlfn.IFNA(INDEX(총합!$A$2:$A$36,MATCH(Sheet9!$A14,총합!W$2:W$36,0)),"-")</f>
        <v>-</v>
      </c>
    </row>
    <row r="15" spans="1:23" x14ac:dyDescent="0.4">
      <c r="A15" s="16" t="s">
        <v>41</v>
      </c>
      <c r="B15" s="2" t="str">
        <f>_xlfn.IFNA(INDEX(총합!$A$2:$A$36,MATCH(Sheet9!$A15,총합!B$2:B$36,0)),"-")</f>
        <v>-</v>
      </c>
      <c r="C15" s="1" t="str">
        <f>_xlfn.IFNA(INDEX(총합!$A$2:$A$36,MATCH(Sheet9!$A15,총합!C$2:C$36,0)),"-")</f>
        <v>제사장</v>
      </c>
      <c r="D15" s="1" t="str">
        <f>_xlfn.IFNA(INDEX(총합!$A$2:$A$36,MATCH(Sheet9!$A15,총합!D$2:D$36,0)),"-")</f>
        <v>-</v>
      </c>
      <c r="E15" s="1" t="str">
        <f>_xlfn.IFNA(INDEX(총합!$A$2:$A$36,MATCH(Sheet9!$A15,총합!E$2:E$36,0)),"-")</f>
        <v>무희</v>
      </c>
      <c r="F15" s="1" t="str">
        <f>_xlfn.IFNA(INDEX(총합!$A$2:$A$36,MATCH(Sheet9!$A15,총합!F$2:F$36,0)),"-")</f>
        <v>-</v>
      </c>
      <c r="G15" s="1" t="str">
        <f>_xlfn.IFNA(INDEX(총합!$A$2:$A$36,MATCH(Sheet9!$A15,총합!G$2:G$36,0)),"-")</f>
        <v>제사장</v>
      </c>
      <c r="H15" s="1" t="str">
        <f>_xlfn.IFNA(INDEX(총합!$A$2:$A$36,MATCH(Sheet9!$A15,총합!H$2:H$36,0)),"-")</f>
        <v>-</v>
      </c>
      <c r="I15" s="1" t="str">
        <f>_xlfn.IFNA(INDEX(총합!$A$2:$A$36,MATCH(Sheet9!$A15,총합!I$2:I$36,0)),"-")</f>
        <v>역작</v>
      </c>
      <c r="J15" s="1" t="str">
        <f>_xlfn.IFNA(INDEX(총합!$A$2:$A$36,MATCH(Sheet9!$A15,총합!J$2:J$36,0)),"-")</f>
        <v>-</v>
      </c>
      <c r="K15" s="1" t="str">
        <f>_xlfn.IFNA(INDEX(총합!$A$2:$A$36,MATCH(Sheet9!$A15,총합!K$2:K$36,0)),"-")</f>
        <v>베테랑</v>
      </c>
      <c r="L15" s="1" t="str">
        <f>_xlfn.IFNA(INDEX(총합!$A$2:$A$36,MATCH(Sheet9!$A15,총합!L$2:L$36,0)),"-")</f>
        <v>-</v>
      </c>
      <c r="M15" s="1" t="str">
        <f>_xlfn.IFNA(INDEX(총합!$A$2:$A$36,MATCH(Sheet9!$A15,총합!M$2:M$36,0)),"-")</f>
        <v>심연</v>
      </c>
      <c r="N15" s="1" t="str">
        <f>_xlfn.IFNA(INDEX(총합!$A$2:$A$36,MATCH(Sheet9!$A15,총합!N$2:N$36,0)),"-")</f>
        <v>-</v>
      </c>
      <c r="O15" s="1" t="str">
        <f>_xlfn.IFNA(INDEX(총합!$A$2:$A$36,MATCH(Sheet9!$A15,총합!O$2:O$36,0)),"-")</f>
        <v>먼동</v>
      </c>
      <c r="P15" s="1" t="str">
        <f>_xlfn.IFNA(INDEX(총합!$A$2:$A$36,MATCH(Sheet9!$A15,총합!P$2:P$36,0)),"-")</f>
        <v>-</v>
      </c>
      <c r="Q15" s="1" t="str">
        <f>_xlfn.IFNA(INDEX(총합!$A$2:$A$36,MATCH(Sheet9!$A15,총합!Q$2:Q$36,0)),"-")</f>
        <v>나락</v>
      </c>
      <c r="R15" s="1" t="str">
        <f>_xlfn.IFNA(INDEX(총합!$A$2:$A$36,MATCH(Sheet9!$A15,총합!R$2:R$36,0)),"-")</f>
        <v>-</v>
      </c>
      <c r="S15" s="1" t="str">
        <f>_xlfn.IFNA(INDEX(총합!$A$2:$A$36,MATCH(Sheet9!$A15,총합!S$2:S$36,0)),"-")</f>
        <v>-</v>
      </c>
      <c r="T15" s="1" t="str">
        <f>_xlfn.IFNA(INDEX(총합!$A$2:$A$36,MATCH(Sheet9!$A15,총합!T$2:T$36,0)),"-")</f>
        <v>-</v>
      </c>
      <c r="U15" s="1" t="str">
        <f>_xlfn.IFNA(INDEX(총합!$A$2:$A$36,MATCH(Sheet9!$A15,총합!U$2:U$36,0)),"-")</f>
        <v>영보</v>
      </c>
      <c r="V15" s="1" t="str">
        <f>_xlfn.IFNA(INDEX(총합!$A$2:$A$36,MATCH(Sheet9!$A15,총합!V$2:V$36,0)),"-")</f>
        <v>-</v>
      </c>
      <c r="W15" s="6" t="str">
        <f>_xlfn.IFNA(INDEX(총합!$A$2:$A$36,MATCH(Sheet9!$A15,총합!W$2:W$36,0)),"-")</f>
        <v>-</v>
      </c>
    </row>
    <row r="16" spans="1:23" ht="18" thickBot="1" x14ac:dyDescent="0.45">
      <c r="A16" s="11" t="s">
        <v>64</v>
      </c>
      <c r="B16" s="15" t="str">
        <f>_xlfn.IFNA(INDEX(총합!$A$2:$A$36,MATCH(Sheet9!$A16,총합!B$2:B$36,0)),"-")</f>
        <v>-</v>
      </c>
      <c r="C16" s="17" t="str">
        <f>_xlfn.IFNA(INDEX(총합!$A$2:$A$36,MATCH(Sheet9!$A16,총합!C$2:C$36,0)),"-")</f>
        <v>심연</v>
      </c>
      <c r="D16" s="17" t="str">
        <f>_xlfn.IFNA(INDEX(총합!$A$2:$A$36,MATCH(Sheet9!$A16,총합!D$2:D$36,0)),"-")</f>
        <v>-</v>
      </c>
      <c r="E16" s="17" t="str">
        <f>_xlfn.IFNA(INDEX(총합!$A$2:$A$36,MATCH(Sheet9!$A16,총합!E$2:E$36,0)),"-")</f>
        <v>베테랑</v>
      </c>
      <c r="F16" s="17" t="str">
        <f>_xlfn.IFNA(INDEX(총합!$A$2:$A$36,MATCH(Sheet9!$A16,총합!F$2:F$36,0)),"-")</f>
        <v>-</v>
      </c>
      <c r="G16" s="17" t="str">
        <f>_xlfn.IFNA(INDEX(총합!$A$2:$A$36,MATCH(Sheet9!$A16,총합!G$2:G$36,0)),"-")</f>
        <v>-</v>
      </c>
      <c r="H16" s="17" t="str">
        <f>_xlfn.IFNA(INDEX(총합!$A$2:$A$36,MATCH(Sheet9!$A16,총합!H$2:H$36,0)),"-")</f>
        <v>-</v>
      </c>
      <c r="I16" s="17" t="str">
        <f>_xlfn.IFNA(INDEX(총합!$A$2:$A$36,MATCH(Sheet9!$A16,총합!I$2:I$36,0)),"-")</f>
        <v>구속</v>
      </c>
      <c r="J16" s="17" t="str">
        <f>_xlfn.IFNA(INDEX(총합!$A$2:$A$36,MATCH(Sheet9!$A16,총합!J$2:J$36,0)),"-")</f>
        <v>-</v>
      </c>
      <c r="K16" s="17" t="str">
        <f>_xlfn.IFNA(INDEX(총합!$A$2:$A$36,MATCH(Sheet9!$A16,총합!K$2:K$36,0)),"-")</f>
        <v>무희</v>
      </c>
      <c r="L16" s="17" t="str">
        <f>_xlfn.IFNA(INDEX(총합!$A$2:$A$36,MATCH(Sheet9!$A16,총합!L$2:L$36,0)),"-")</f>
        <v>-</v>
      </c>
      <c r="M16" s="17" t="str">
        <f>_xlfn.IFNA(INDEX(총합!$A$2:$A$36,MATCH(Sheet9!$A16,총합!M$2:M$36,0)),"-")</f>
        <v>트앵</v>
      </c>
      <c r="N16" s="17" t="str">
        <f>_xlfn.IFNA(INDEX(총합!$A$2:$A$36,MATCH(Sheet9!$A16,총합!N$2:N$36,0)),"-")</f>
        <v>-</v>
      </c>
      <c r="O16" s="17" t="str">
        <f>_xlfn.IFNA(INDEX(총합!$A$2:$A$36,MATCH(Sheet9!$A16,총합!O$2:O$36,0)),"-")</f>
        <v>시여</v>
      </c>
      <c r="P16" s="17" t="str">
        <f>_xlfn.IFNA(INDEX(총합!$A$2:$A$36,MATCH(Sheet9!$A16,총합!P$2:P$36,0)),"-")</f>
        <v>-</v>
      </c>
      <c r="Q16" s="17" t="str">
        <f>_xlfn.IFNA(INDEX(총합!$A$2:$A$36,MATCH(Sheet9!$A16,총합!Q$2:Q$36,0)),"-")</f>
        <v>먼동</v>
      </c>
      <c r="R16" s="17" t="str">
        <f>_xlfn.IFNA(INDEX(총합!$A$2:$A$36,MATCH(Sheet9!$A16,총합!R$2:R$36,0)),"-")</f>
        <v>-</v>
      </c>
      <c r="S16" s="17" t="str">
        <f>_xlfn.IFNA(INDEX(총합!$A$2:$A$36,MATCH(Sheet9!$A16,총합!S$2:S$36,0)),"-")</f>
        <v>군신</v>
      </c>
      <c r="T16" s="17" t="str">
        <f>_xlfn.IFNA(INDEX(총합!$A$2:$A$36,MATCH(Sheet9!$A16,총합!T$2:T$36,0)),"-")</f>
        <v>-</v>
      </c>
      <c r="U16" s="17" t="str">
        <f>_xlfn.IFNA(INDEX(총합!$A$2:$A$36,MATCH(Sheet9!$A16,총합!U$2:U$36,0)),"-")</f>
        <v>-</v>
      </c>
      <c r="V16" s="17" t="str">
        <f>_xlfn.IFNA(INDEX(총합!$A$2:$A$36,MATCH(Sheet9!$A16,총합!V$2:V$36,0)),"-")</f>
        <v>-</v>
      </c>
      <c r="W16" s="8" t="str">
        <f>_xlfn.IFNA(INDEX(총합!$A$2:$A$36,MATCH(Sheet9!$A16,총합!W$2:W$36,0)),"-")</f>
        <v>나락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019F6-1EE4-4441-8A42-E3BE9DA7AFC9}">
  <sheetPr codeName="Sheet9"/>
  <dimension ref="A1:V39"/>
  <sheetViews>
    <sheetView zoomScale="70" zoomScaleNormal="70" workbookViewId="0">
      <selection activeCell="E13" sqref="E13"/>
    </sheetView>
  </sheetViews>
  <sheetFormatPr defaultRowHeight="17.399999999999999" x14ac:dyDescent="0.4"/>
  <sheetData>
    <row r="1" spans="1:22" ht="18" thickBot="1" x14ac:dyDescent="0.45">
      <c r="A1" s="3"/>
      <c r="B1" s="22" t="s">
        <v>1</v>
      </c>
      <c r="C1" s="3"/>
      <c r="D1" s="22" t="s">
        <v>3</v>
      </c>
      <c r="E1" s="3"/>
      <c r="F1" s="22" t="s">
        <v>5</v>
      </c>
      <c r="G1" s="3"/>
      <c r="H1" s="22" t="s">
        <v>7</v>
      </c>
      <c r="I1" s="3"/>
      <c r="J1" s="22" t="s">
        <v>9</v>
      </c>
      <c r="K1" s="3"/>
      <c r="L1" s="20" t="s">
        <v>79</v>
      </c>
      <c r="M1" s="3"/>
      <c r="N1" s="20" t="s">
        <v>81</v>
      </c>
      <c r="O1" s="3"/>
      <c r="P1" s="20" t="s">
        <v>83</v>
      </c>
      <c r="Q1" s="3"/>
      <c r="R1" s="20" t="s">
        <v>85</v>
      </c>
      <c r="S1" s="3"/>
      <c r="T1" s="20" t="s">
        <v>87</v>
      </c>
      <c r="U1" s="3"/>
      <c r="V1" s="20" t="s">
        <v>89</v>
      </c>
    </row>
    <row r="2" spans="1:22" ht="18" thickBot="1" x14ac:dyDescent="0.45">
      <c r="A2" s="10" t="s">
        <v>11</v>
      </c>
      <c r="B2" s="30" t="s">
        <v>40</v>
      </c>
      <c r="C2" s="10" t="s">
        <v>11</v>
      </c>
      <c r="D2" s="30" t="s">
        <v>42</v>
      </c>
      <c r="E2" s="10" t="s">
        <v>11</v>
      </c>
      <c r="F2" s="30" t="s">
        <v>40</v>
      </c>
      <c r="G2" s="10" t="s">
        <v>11</v>
      </c>
      <c r="H2" s="30" t="s">
        <v>42</v>
      </c>
      <c r="I2" s="10" t="s">
        <v>11</v>
      </c>
      <c r="J2" s="30" t="s">
        <v>47</v>
      </c>
      <c r="K2" s="10" t="s">
        <v>71</v>
      </c>
      <c r="L2" s="30" t="s">
        <v>61</v>
      </c>
      <c r="M2" s="10" t="s">
        <v>71</v>
      </c>
      <c r="N2" s="30" t="s">
        <v>61</v>
      </c>
      <c r="O2" s="10" t="s">
        <v>71</v>
      </c>
      <c r="P2" s="30" t="s">
        <v>42</v>
      </c>
      <c r="Q2" s="10" t="s">
        <v>91</v>
      </c>
      <c r="R2" s="30" t="s">
        <v>63</v>
      </c>
      <c r="S2" s="10" t="s">
        <v>91</v>
      </c>
      <c r="T2" s="30" t="s">
        <v>65</v>
      </c>
      <c r="U2" s="10" t="s">
        <v>91</v>
      </c>
      <c r="V2" s="30" t="s">
        <v>47</v>
      </c>
    </row>
    <row r="3" spans="1:22" ht="18" thickBot="1" x14ac:dyDescent="0.45">
      <c r="A3" s="10" t="s">
        <v>11</v>
      </c>
      <c r="B3" s="14" t="s">
        <v>57</v>
      </c>
      <c r="C3" s="10" t="s">
        <v>11</v>
      </c>
      <c r="D3" s="12" t="s">
        <v>57</v>
      </c>
      <c r="E3" s="10" t="s">
        <v>11</v>
      </c>
      <c r="F3" s="12" t="s">
        <v>44</v>
      </c>
      <c r="G3" s="10" t="s">
        <v>11</v>
      </c>
      <c r="H3" s="12" t="s">
        <v>44</v>
      </c>
      <c r="I3" s="10" t="s">
        <v>11</v>
      </c>
      <c r="J3" s="12" t="s">
        <v>46</v>
      </c>
      <c r="K3" s="10" t="s">
        <v>71</v>
      </c>
      <c r="L3" s="12" t="s">
        <v>68</v>
      </c>
      <c r="M3" s="10" t="s">
        <v>71</v>
      </c>
      <c r="N3" s="12" t="s">
        <v>44</v>
      </c>
      <c r="O3" s="10" t="s">
        <v>71</v>
      </c>
      <c r="P3" s="12" t="s">
        <v>58</v>
      </c>
      <c r="Q3" s="10" t="s">
        <v>91</v>
      </c>
      <c r="R3" s="12" t="s">
        <v>46</v>
      </c>
      <c r="S3" s="10" t="s">
        <v>91</v>
      </c>
      <c r="T3" s="12" t="s">
        <v>68</v>
      </c>
      <c r="U3" s="10" t="s">
        <v>91</v>
      </c>
      <c r="V3" s="12" t="s">
        <v>44</v>
      </c>
    </row>
    <row r="4" spans="1:22" x14ac:dyDescent="0.4">
      <c r="A4" s="16" t="s">
        <v>13</v>
      </c>
      <c r="B4" s="30" t="s">
        <v>49</v>
      </c>
      <c r="C4" s="16" t="s">
        <v>13</v>
      </c>
      <c r="D4" s="30" t="s">
        <v>53</v>
      </c>
      <c r="E4" s="16" t="s">
        <v>13</v>
      </c>
      <c r="F4" s="30" t="s">
        <v>49</v>
      </c>
      <c r="G4" s="16" t="s">
        <v>13</v>
      </c>
      <c r="H4" s="30" t="s">
        <v>55</v>
      </c>
      <c r="I4" s="16" t="s">
        <v>13</v>
      </c>
      <c r="J4" s="30" t="s">
        <v>49</v>
      </c>
      <c r="K4" s="16" t="s">
        <v>73</v>
      </c>
      <c r="L4" s="30" t="s">
        <v>42</v>
      </c>
      <c r="M4" s="16" t="s">
        <v>73</v>
      </c>
      <c r="N4" s="30" t="s">
        <v>40</v>
      </c>
      <c r="O4" s="16" t="s">
        <v>73</v>
      </c>
      <c r="P4" s="30" t="s">
        <v>63</v>
      </c>
      <c r="Q4" s="16" t="s">
        <v>93</v>
      </c>
      <c r="R4" s="30" t="s">
        <v>63</v>
      </c>
      <c r="S4" s="16" t="s">
        <v>93</v>
      </c>
      <c r="T4" s="30" t="s">
        <v>40</v>
      </c>
      <c r="U4" s="16" t="s">
        <v>93</v>
      </c>
      <c r="V4" s="30" t="s">
        <v>47</v>
      </c>
    </row>
    <row r="5" spans="1:22" ht="18" thickBot="1" x14ac:dyDescent="0.45">
      <c r="A5" s="16" t="s">
        <v>13</v>
      </c>
      <c r="B5" s="2" t="s">
        <v>57</v>
      </c>
      <c r="C5" s="16" t="s">
        <v>13</v>
      </c>
      <c r="D5" s="5" t="s">
        <v>52</v>
      </c>
      <c r="E5" s="16" t="s">
        <v>13</v>
      </c>
      <c r="F5" s="5" t="s">
        <v>46</v>
      </c>
      <c r="G5" s="16" t="s">
        <v>13</v>
      </c>
      <c r="H5" s="5" t="s">
        <v>44</v>
      </c>
      <c r="I5" s="16" t="s">
        <v>13</v>
      </c>
      <c r="J5" s="5" t="s">
        <v>58</v>
      </c>
      <c r="K5" s="16" t="s">
        <v>73</v>
      </c>
      <c r="L5" s="5" t="s">
        <v>60</v>
      </c>
      <c r="M5" s="16" t="s">
        <v>73</v>
      </c>
      <c r="N5" s="5" t="s">
        <v>54</v>
      </c>
      <c r="O5" s="16" t="s">
        <v>73</v>
      </c>
      <c r="P5" s="5" t="s">
        <v>66</v>
      </c>
      <c r="Q5" s="16" t="s">
        <v>93</v>
      </c>
      <c r="R5" s="5" t="s">
        <v>60</v>
      </c>
      <c r="S5" s="16" t="s">
        <v>93</v>
      </c>
      <c r="T5" s="5" t="s">
        <v>54</v>
      </c>
      <c r="U5" s="16" t="s">
        <v>93</v>
      </c>
      <c r="V5" s="5" t="s">
        <v>50</v>
      </c>
    </row>
    <row r="6" spans="1:22" x14ac:dyDescent="0.4">
      <c r="A6" s="16" t="s">
        <v>15</v>
      </c>
      <c r="B6" s="30" t="s">
        <v>42</v>
      </c>
      <c r="C6" s="16" t="s">
        <v>15</v>
      </c>
      <c r="D6" s="30" t="s">
        <v>40</v>
      </c>
      <c r="E6" s="16" t="s">
        <v>15</v>
      </c>
      <c r="F6" s="30" t="s">
        <v>61</v>
      </c>
      <c r="G6" s="16" t="s">
        <v>15</v>
      </c>
      <c r="H6" s="30" t="s">
        <v>47</v>
      </c>
      <c r="I6" s="16" t="s">
        <v>15</v>
      </c>
      <c r="J6" s="30" t="s">
        <v>63</v>
      </c>
      <c r="K6" s="16" t="s">
        <v>75</v>
      </c>
      <c r="L6" s="30" t="s">
        <v>63</v>
      </c>
      <c r="M6" s="16" t="s">
        <v>75</v>
      </c>
      <c r="N6" s="30" t="s">
        <v>61</v>
      </c>
      <c r="O6" s="16" t="s">
        <v>75</v>
      </c>
      <c r="P6" s="30" t="s">
        <v>47</v>
      </c>
      <c r="Q6" s="16" t="s">
        <v>95</v>
      </c>
      <c r="R6" s="30" t="s">
        <v>53</v>
      </c>
      <c r="S6" s="16" t="s">
        <v>95</v>
      </c>
      <c r="T6" s="30" t="s">
        <v>55</v>
      </c>
      <c r="U6" s="16" t="s">
        <v>95</v>
      </c>
      <c r="V6" s="30" t="s">
        <v>53</v>
      </c>
    </row>
    <row r="7" spans="1:22" ht="18" thickBot="1" x14ac:dyDescent="0.45">
      <c r="A7" s="16" t="s">
        <v>15</v>
      </c>
      <c r="B7" s="2" t="s">
        <v>50</v>
      </c>
      <c r="C7" s="16" t="s">
        <v>15</v>
      </c>
      <c r="D7" s="5" t="s">
        <v>60</v>
      </c>
      <c r="E7" s="16" t="s">
        <v>15</v>
      </c>
      <c r="F7" s="5" t="s">
        <v>56</v>
      </c>
      <c r="G7" s="16" t="s">
        <v>15</v>
      </c>
      <c r="H7" s="5" t="s">
        <v>56</v>
      </c>
      <c r="I7" s="16" t="s">
        <v>15</v>
      </c>
      <c r="J7" s="5" t="s">
        <v>54</v>
      </c>
      <c r="K7" s="16" t="s">
        <v>75</v>
      </c>
      <c r="L7" s="5" t="s">
        <v>60</v>
      </c>
      <c r="M7" s="16" t="s">
        <v>75</v>
      </c>
      <c r="N7" s="5" t="s">
        <v>56</v>
      </c>
      <c r="O7" s="16" t="s">
        <v>75</v>
      </c>
      <c r="P7" s="5" t="s">
        <v>66</v>
      </c>
      <c r="Q7" s="16" t="s">
        <v>95</v>
      </c>
      <c r="R7" s="5" t="s">
        <v>52</v>
      </c>
      <c r="S7" s="16" t="s">
        <v>95</v>
      </c>
      <c r="T7" s="5" t="s">
        <v>58</v>
      </c>
      <c r="U7" s="16" t="s">
        <v>95</v>
      </c>
      <c r="V7" s="5" t="s">
        <v>52</v>
      </c>
    </row>
    <row r="8" spans="1:22" ht="18" thickBot="1" x14ac:dyDescent="0.45">
      <c r="A8" s="16" t="s">
        <v>17</v>
      </c>
      <c r="B8" s="30" t="s">
        <v>47</v>
      </c>
      <c r="C8" s="16" t="s">
        <v>17</v>
      </c>
      <c r="D8" s="30" t="s">
        <v>42</v>
      </c>
      <c r="E8" s="16" t="s">
        <v>17</v>
      </c>
      <c r="F8" s="30" t="s">
        <v>61</v>
      </c>
      <c r="G8" s="16" t="s">
        <v>17</v>
      </c>
      <c r="H8" s="30" t="s">
        <v>47</v>
      </c>
      <c r="I8" s="16" t="s">
        <v>17</v>
      </c>
      <c r="J8" s="30" t="s">
        <v>42</v>
      </c>
      <c r="K8" s="11" t="s">
        <v>77</v>
      </c>
      <c r="L8" s="30" t="s">
        <v>65</v>
      </c>
      <c r="M8" s="11" t="s">
        <v>77</v>
      </c>
      <c r="N8" s="30" t="s">
        <v>55</v>
      </c>
      <c r="O8" s="11" t="s">
        <v>77</v>
      </c>
      <c r="P8" s="30" t="s">
        <v>55</v>
      </c>
      <c r="Q8" s="11" t="s">
        <v>97</v>
      </c>
      <c r="R8" s="30" t="s">
        <v>63</v>
      </c>
      <c r="S8" s="11" t="s">
        <v>97</v>
      </c>
      <c r="T8" s="30" t="s">
        <v>47</v>
      </c>
      <c r="U8" s="11" t="s">
        <v>97</v>
      </c>
      <c r="V8" s="30" t="s">
        <v>47</v>
      </c>
    </row>
    <row r="9" spans="1:22" ht="18" thickBot="1" x14ac:dyDescent="0.45">
      <c r="A9" s="16" t="s">
        <v>17</v>
      </c>
      <c r="B9" s="2" t="s">
        <v>60</v>
      </c>
      <c r="C9" s="16" t="s">
        <v>17</v>
      </c>
      <c r="D9" s="5" t="s">
        <v>66</v>
      </c>
      <c r="E9" s="16" t="s">
        <v>17</v>
      </c>
      <c r="F9" s="5" t="s">
        <v>56</v>
      </c>
      <c r="G9" s="16" t="s">
        <v>17</v>
      </c>
      <c r="H9" s="5" t="s">
        <v>50</v>
      </c>
      <c r="I9" s="16" t="s">
        <v>17</v>
      </c>
      <c r="J9" s="5" t="s">
        <v>60</v>
      </c>
      <c r="K9" s="11" t="s">
        <v>77</v>
      </c>
      <c r="L9" s="7" t="s">
        <v>68</v>
      </c>
      <c r="M9" s="11" t="s">
        <v>77</v>
      </c>
      <c r="N9" s="7" t="s">
        <v>44</v>
      </c>
      <c r="O9" s="11" t="s">
        <v>77</v>
      </c>
      <c r="P9" s="7" t="s">
        <v>44</v>
      </c>
      <c r="Q9" s="11" t="s">
        <v>97</v>
      </c>
      <c r="R9" s="7" t="s">
        <v>58</v>
      </c>
      <c r="S9" s="11" t="s">
        <v>97</v>
      </c>
      <c r="T9" s="7" t="s">
        <v>58</v>
      </c>
      <c r="U9" s="11" t="s">
        <v>97</v>
      </c>
      <c r="V9" s="7" t="s">
        <v>46</v>
      </c>
    </row>
    <row r="10" spans="1:22" ht="18" thickBot="1" x14ac:dyDescent="0.45">
      <c r="A10" s="16" t="s">
        <v>19</v>
      </c>
      <c r="B10" s="30" t="s">
        <v>61</v>
      </c>
      <c r="C10" s="16" t="s">
        <v>19</v>
      </c>
      <c r="D10" s="30" t="s">
        <v>40</v>
      </c>
      <c r="E10" s="16" t="s">
        <v>19</v>
      </c>
      <c r="F10" s="30" t="s">
        <v>40</v>
      </c>
      <c r="G10" s="16" t="s">
        <v>19</v>
      </c>
      <c r="H10" s="30" t="s">
        <v>42</v>
      </c>
      <c r="I10" s="16" t="s">
        <v>19</v>
      </c>
      <c r="J10" s="30" t="s">
        <v>61</v>
      </c>
      <c r="K10" s="10" t="s">
        <v>99</v>
      </c>
      <c r="L10" s="30" t="s">
        <v>40</v>
      </c>
      <c r="M10" s="10" t="s">
        <v>107</v>
      </c>
      <c r="N10" s="30" t="s">
        <v>53</v>
      </c>
      <c r="O10" s="10" t="s">
        <v>115</v>
      </c>
      <c r="P10" s="30" t="s">
        <v>40</v>
      </c>
      <c r="Q10" s="10" t="s">
        <v>99</v>
      </c>
      <c r="R10" s="30" t="s">
        <v>61</v>
      </c>
      <c r="S10" s="10" t="s">
        <v>107</v>
      </c>
      <c r="T10" s="30" t="s">
        <v>40</v>
      </c>
      <c r="U10" s="10" t="s">
        <v>115</v>
      </c>
      <c r="V10" s="30" t="s">
        <v>63</v>
      </c>
    </row>
    <row r="11" spans="1:22" ht="18" thickBot="1" x14ac:dyDescent="0.45">
      <c r="A11" s="16" t="s">
        <v>19</v>
      </c>
      <c r="B11" s="2" t="s">
        <v>54</v>
      </c>
      <c r="C11" s="16" t="s">
        <v>19</v>
      </c>
      <c r="D11" s="5" t="s">
        <v>54</v>
      </c>
      <c r="E11" s="16" t="s">
        <v>19</v>
      </c>
      <c r="F11" s="5" t="s">
        <v>56</v>
      </c>
      <c r="G11" s="16" t="s">
        <v>19</v>
      </c>
      <c r="H11" s="5" t="s">
        <v>56</v>
      </c>
      <c r="I11" s="16" t="s">
        <v>19</v>
      </c>
      <c r="J11" s="5" t="s">
        <v>66</v>
      </c>
      <c r="K11" s="10" t="s">
        <v>99</v>
      </c>
      <c r="L11" s="12" t="s">
        <v>52</v>
      </c>
      <c r="M11" s="10" t="s">
        <v>107</v>
      </c>
      <c r="N11" s="12" t="s">
        <v>46</v>
      </c>
      <c r="O11" s="10" t="s">
        <v>115</v>
      </c>
      <c r="P11" s="12" t="s">
        <v>54</v>
      </c>
      <c r="Q11" s="10" t="s">
        <v>99</v>
      </c>
      <c r="R11" s="12" t="s">
        <v>44</v>
      </c>
      <c r="S11" s="10" t="s">
        <v>107</v>
      </c>
      <c r="T11" s="12" t="s">
        <v>44</v>
      </c>
      <c r="U11" s="10" t="s">
        <v>115</v>
      </c>
      <c r="V11" s="12" t="s">
        <v>60</v>
      </c>
    </row>
    <row r="12" spans="1:22" x14ac:dyDescent="0.4">
      <c r="A12" s="16" t="s">
        <v>21</v>
      </c>
      <c r="B12" s="30" t="s">
        <v>61</v>
      </c>
      <c r="C12" s="16" t="s">
        <v>21</v>
      </c>
      <c r="D12" s="30" t="s">
        <v>63</v>
      </c>
      <c r="E12" s="16" t="s">
        <v>21</v>
      </c>
      <c r="F12" s="30" t="s">
        <v>42</v>
      </c>
      <c r="G12" s="16" t="s">
        <v>21</v>
      </c>
      <c r="H12" s="30" t="s">
        <v>42</v>
      </c>
      <c r="I12" s="16" t="s">
        <v>21</v>
      </c>
      <c r="J12" s="30" t="s">
        <v>40</v>
      </c>
      <c r="K12" s="16" t="s">
        <v>101</v>
      </c>
      <c r="L12" s="30" t="s">
        <v>47</v>
      </c>
      <c r="M12" s="16" t="s">
        <v>109</v>
      </c>
      <c r="N12" s="30" t="s">
        <v>63</v>
      </c>
      <c r="O12" s="16" t="s">
        <v>117</v>
      </c>
      <c r="P12" s="30" t="s">
        <v>55</v>
      </c>
      <c r="Q12" s="16" t="s">
        <v>101</v>
      </c>
      <c r="R12" s="30" t="s">
        <v>63</v>
      </c>
      <c r="S12" s="16" t="s">
        <v>109</v>
      </c>
      <c r="T12" s="30" t="s">
        <v>47</v>
      </c>
      <c r="U12" s="16" t="s">
        <v>117</v>
      </c>
      <c r="V12" s="30" t="s">
        <v>59</v>
      </c>
    </row>
    <row r="13" spans="1:22" ht="18" thickBot="1" x14ac:dyDescent="0.45">
      <c r="A13" s="16" t="s">
        <v>21</v>
      </c>
      <c r="B13" s="2" t="s">
        <v>52</v>
      </c>
      <c r="C13" s="16" t="s">
        <v>21</v>
      </c>
      <c r="D13" s="5" t="s">
        <v>68</v>
      </c>
      <c r="E13" s="16" t="s">
        <v>21</v>
      </c>
      <c r="F13" s="5" t="s">
        <v>52</v>
      </c>
      <c r="G13" s="16" t="s">
        <v>21</v>
      </c>
      <c r="H13" s="5" t="s">
        <v>66</v>
      </c>
      <c r="I13" s="16" t="s">
        <v>21</v>
      </c>
      <c r="J13" s="5" t="s">
        <v>52</v>
      </c>
      <c r="K13" s="16" t="s">
        <v>101</v>
      </c>
      <c r="L13" s="5" t="s">
        <v>66</v>
      </c>
      <c r="M13" s="16" t="s">
        <v>109</v>
      </c>
      <c r="N13" s="5" t="s">
        <v>68</v>
      </c>
      <c r="O13" s="16" t="s">
        <v>117</v>
      </c>
      <c r="P13" s="5" t="s">
        <v>44</v>
      </c>
      <c r="Q13" s="16" t="s">
        <v>101</v>
      </c>
      <c r="R13" s="5" t="s">
        <v>50</v>
      </c>
      <c r="S13" s="16" t="s">
        <v>109</v>
      </c>
      <c r="T13" s="5" t="s">
        <v>46</v>
      </c>
      <c r="U13" s="16" t="s">
        <v>117</v>
      </c>
      <c r="V13" s="5" t="s">
        <v>52</v>
      </c>
    </row>
    <row r="14" spans="1:22" x14ac:dyDescent="0.4">
      <c r="A14" s="16" t="s">
        <v>23</v>
      </c>
      <c r="B14" s="30" t="s">
        <v>59</v>
      </c>
      <c r="C14" s="16" t="s">
        <v>23</v>
      </c>
      <c r="D14" s="30" t="s">
        <v>59</v>
      </c>
      <c r="E14" s="16" t="s">
        <v>23</v>
      </c>
      <c r="F14" s="30" t="s">
        <v>53</v>
      </c>
      <c r="G14" s="16" t="s">
        <v>23</v>
      </c>
      <c r="H14" s="30" t="s">
        <v>47</v>
      </c>
      <c r="I14" s="16" t="s">
        <v>23</v>
      </c>
      <c r="J14" s="30" t="s">
        <v>59</v>
      </c>
      <c r="K14" s="16" t="s">
        <v>103</v>
      </c>
      <c r="L14" s="30" t="s">
        <v>49</v>
      </c>
      <c r="M14" s="16" t="s">
        <v>111</v>
      </c>
      <c r="N14" s="30" t="s">
        <v>40</v>
      </c>
      <c r="O14" s="16" t="s">
        <v>119</v>
      </c>
      <c r="P14" s="30" t="s">
        <v>65</v>
      </c>
      <c r="Q14" s="16" t="s">
        <v>103</v>
      </c>
      <c r="R14" s="30" t="s">
        <v>53</v>
      </c>
      <c r="S14" s="16" t="s">
        <v>111</v>
      </c>
      <c r="T14" s="30" t="s">
        <v>47</v>
      </c>
      <c r="U14" s="16" t="s">
        <v>119</v>
      </c>
      <c r="V14" s="30" t="s">
        <v>55</v>
      </c>
    </row>
    <row r="15" spans="1:22" ht="18" thickBot="1" x14ac:dyDescent="0.45">
      <c r="A15" s="16" t="s">
        <v>23</v>
      </c>
      <c r="B15" s="2" t="s">
        <v>52</v>
      </c>
      <c r="C15" s="16" t="s">
        <v>23</v>
      </c>
      <c r="D15" s="5" t="s">
        <v>57</v>
      </c>
      <c r="E15" s="16" t="s">
        <v>23</v>
      </c>
      <c r="F15" s="5" t="s">
        <v>57</v>
      </c>
      <c r="G15" s="16" t="s">
        <v>23</v>
      </c>
      <c r="H15" s="5" t="s">
        <v>50</v>
      </c>
      <c r="I15" s="16" t="s">
        <v>23</v>
      </c>
      <c r="J15" s="5" t="s">
        <v>68</v>
      </c>
      <c r="K15" s="16" t="s">
        <v>103</v>
      </c>
      <c r="L15" s="5" t="s">
        <v>68</v>
      </c>
      <c r="M15" s="16" t="s">
        <v>111</v>
      </c>
      <c r="N15" s="5" t="s">
        <v>68</v>
      </c>
      <c r="O15" s="16" t="s">
        <v>119</v>
      </c>
      <c r="P15" s="5" t="s">
        <v>52</v>
      </c>
      <c r="Q15" s="16" t="s">
        <v>103</v>
      </c>
      <c r="R15" s="5" t="s">
        <v>46</v>
      </c>
      <c r="S15" s="16" t="s">
        <v>111</v>
      </c>
      <c r="T15" s="5" t="s">
        <v>52</v>
      </c>
      <c r="U15" s="16" t="s">
        <v>119</v>
      </c>
      <c r="V15" s="5" t="s">
        <v>46</v>
      </c>
    </row>
    <row r="16" spans="1:22" ht="18" thickBot="1" x14ac:dyDescent="0.45">
      <c r="A16" s="16" t="s">
        <v>25</v>
      </c>
      <c r="B16" s="30" t="s">
        <v>47</v>
      </c>
      <c r="C16" s="16" t="s">
        <v>25</v>
      </c>
      <c r="D16" s="30" t="s">
        <v>63</v>
      </c>
      <c r="E16" s="16" t="s">
        <v>25</v>
      </c>
      <c r="F16" s="30" t="s">
        <v>42</v>
      </c>
      <c r="G16" s="16" t="s">
        <v>25</v>
      </c>
      <c r="H16" s="30" t="s">
        <v>42</v>
      </c>
      <c r="I16" s="16" t="s">
        <v>25</v>
      </c>
      <c r="J16" s="30" t="s">
        <v>63</v>
      </c>
      <c r="K16" s="11" t="s">
        <v>105</v>
      </c>
      <c r="L16" s="30" t="s">
        <v>59</v>
      </c>
      <c r="M16" s="11" t="s">
        <v>113</v>
      </c>
      <c r="N16" s="30" t="s">
        <v>61</v>
      </c>
      <c r="O16" s="11" t="s">
        <v>121</v>
      </c>
      <c r="P16" s="30" t="s">
        <v>61</v>
      </c>
      <c r="Q16" s="11" t="s">
        <v>105</v>
      </c>
      <c r="R16" s="30" t="s">
        <v>65</v>
      </c>
      <c r="S16" s="11" t="s">
        <v>113</v>
      </c>
      <c r="T16" s="30" t="s">
        <v>47</v>
      </c>
      <c r="U16" s="11" t="s">
        <v>121</v>
      </c>
      <c r="V16" s="30" t="s">
        <v>47</v>
      </c>
    </row>
    <row r="17" spans="1:22" ht="18" thickBot="1" x14ac:dyDescent="0.45">
      <c r="A17" s="16" t="s">
        <v>25</v>
      </c>
      <c r="B17" s="2" t="s">
        <v>54</v>
      </c>
      <c r="C17" s="16" t="s">
        <v>25</v>
      </c>
      <c r="D17" s="5" t="s">
        <v>54</v>
      </c>
      <c r="E17" s="16" t="s">
        <v>25</v>
      </c>
      <c r="F17" s="5" t="s">
        <v>56</v>
      </c>
      <c r="G17" s="16" t="s">
        <v>25</v>
      </c>
      <c r="H17" s="5" t="s">
        <v>54</v>
      </c>
      <c r="I17" s="16" t="s">
        <v>25</v>
      </c>
      <c r="J17" s="5" t="s">
        <v>50</v>
      </c>
      <c r="K17" s="11" t="s">
        <v>105</v>
      </c>
      <c r="L17" s="7" t="s">
        <v>46</v>
      </c>
      <c r="M17" s="11" t="s">
        <v>113</v>
      </c>
      <c r="N17" s="7" t="s">
        <v>66</v>
      </c>
      <c r="O17" s="11" t="s">
        <v>121</v>
      </c>
      <c r="P17" s="7" t="s">
        <v>52</v>
      </c>
      <c r="Q17" s="11" t="s">
        <v>105</v>
      </c>
      <c r="R17" s="7" t="s">
        <v>46</v>
      </c>
      <c r="S17" s="11" t="s">
        <v>113</v>
      </c>
      <c r="T17" s="7" t="s">
        <v>50</v>
      </c>
      <c r="U17" s="11" t="s">
        <v>121</v>
      </c>
      <c r="V17" s="7" t="s">
        <v>52</v>
      </c>
    </row>
    <row r="18" spans="1:22" x14ac:dyDescent="0.4">
      <c r="A18" s="16" t="s">
        <v>27</v>
      </c>
      <c r="B18" s="30" t="s">
        <v>61</v>
      </c>
      <c r="C18" s="16" t="s">
        <v>27</v>
      </c>
      <c r="D18" s="30" t="s">
        <v>63</v>
      </c>
      <c r="E18" s="16" t="s">
        <v>27</v>
      </c>
      <c r="F18" s="30" t="s">
        <v>47</v>
      </c>
      <c r="G18" s="16" t="s">
        <v>27</v>
      </c>
      <c r="H18" s="30" t="s">
        <v>42</v>
      </c>
      <c r="I18" s="16" t="s">
        <v>27</v>
      </c>
      <c r="J18" s="30" t="s">
        <v>63</v>
      </c>
    </row>
    <row r="19" spans="1:22" ht="18" thickBot="1" x14ac:dyDescent="0.45">
      <c r="A19" s="16" t="s">
        <v>27</v>
      </c>
      <c r="B19" s="2" t="s">
        <v>68</v>
      </c>
      <c r="C19" s="16" t="s">
        <v>27</v>
      </c>
      <c r="D19" s="5" t="s">
        <v>44</v>
      </c>
      <c r="E19" s="16" t="s">
        <v>27</v>
      </c>
      <c r="F19" s="5" t="s">
        <v>58</v>
      </c>
      <c r="G19" s="16" t="s">
        <v>27</v>
      </c>
      <c r="H19" s="5" t="s">
        <v>58</v>
      </c>
      <c r="I19" s="16" t="s">
        <v>27</v>
      </c>
      <c r="J19" s="5" t="s">
        <v>58</v>
      </c>
    </row>
    <row r="20" spans="1:22" x14ac:dyDescent="0.4">
      <c r="A20" s="16" t="s">
        <v>29</v>
      </c>
      <c r="B20" s="30" t="s">
        <v>49</v>
      </c>
      <c r="C20" s="16" t="s">
        <v>29</v>
      </c>
      <c r="D20" s="30" t="s">
        <v>55</v>
      </c>
      <c r="E20" s="16" t="s">
        <v>29</v>
      </c>
      <c r="F20" s="30" t="s">
        <v>53</v>
      </c>
      <c r="G20" s="16" t="s">
        <v>29</v>
      </c>
      <c r="H20" s="30" t="s">
        <v>55</v>
      </c>
      <c r="I20" s="16" t="s">
        <v>29</v>
      </c>
      <c r="J20" s="30" t="s">
        <v>49</v>
      </c>
    </row>
    <row r="21" spans="1:22" ht="18" thickBot="1" x14ac:dyDescent="0.45">
      <c r="A21" s="16" t="s">
        <v>29</v>
      </c>
      <c r="B21" s="2" t="s">
        <v>44</v>
      </c>
      <c r="C21" s="16" t="s">
        <v>29</v>
      </c>
      <c r="D21" s="5" t="s">
        <v>44</v>
      </c>
      <c r="E21" s="16" t="s">
        <v>29</v>
      </c>
      <c r="F21" s="5" t="s">
        <v>68</v>
      </c>
      <c r="G21" s="16" t="s">
        <v>29</v>
      </c>
      <c r="H21" s="5" t="s">
        <v>52</v>
      </c>
      <c r="I21" s="16" t="s">
        <v>29</v>
      </c>
      <c r="J21" s="5" t="s">
        <v>46</v>
      </c>
    </row>
    <row r="22" spans="1:22" x14ac:dyDescent="0.4">
      <c r="A22" s="16" t="s">
        <v>31</v>
      </c>
      <c r="B22" s="30" t="s">
        <v>61</v>
      </c>
      <c r="C22" s="16" t="s">
        <v>31</v>
      </c>
      <c r="D22" s="30" t="s">
        <v>61</v>
      </c>
      <c r="E22" s="16" t="s">
        <v>31</v>
      </c>
      <c r="F22" s="30" t="s">
        <v>40</v>
      </c>
      <c r="G22" s="16" t="s">
        <v>31</v>
      </c>
      <c r="H22" s="30" t="s">
        <v>40</v>
      </c>
      <c r="I22" s="16" t="s">
        <v>31</v>
      </c>
      <c r="J22" s="30" t="s">
        <v>42</v>
      </c>
    </row>
    <row r="23" spans="1:22" ht="18" thickBot="1" x14ac:dyDescent="0.45">
      <c r="A23" s="16" t="s">
        <v>31</v>
      </c>
      <c r="B23" s="2" t="s">
        <v>60</v>
      </c>
      <c r="C23" s="16" t="s">
        <v>31</v>
      </c>
      <c r="D23" s="5" t="s">
        <v>60</v>
      </c>
      <c r="E23" s="16" t="s">
        <v>31</v>
      </c>
      <c r="F23" s="5" t="s">
        <v>60</v>
      </c>
      <c r="G23" s="16" t="s">
        <v>31</v>
      </c>
      <c r="H23" s="5" t="s">
        <v>50</v>
      </c>
      <c r="I23" s="16" t="s">
        <v>31</v>
      </c>
      <c r="J23" s="5" t="s">
        <v>50</v>
      </c>
    </row>
    <row r="24" spans="1:22" x14ac:dyDescent="0.4">
      <c r="A24" s="16" t="s">
        <v>33</v>
      </c>
      <c r="B24" s="30" t="s">
        <v>40</v>
      </c>
      <c r="C24" s="16" t="s">
        <v>33</v>
      </c>
      <c r="D24" s="30" t="s">
        <v>63</v>
      </c>
      <c r="E24" s="16" t="s">
        <v>33</v>
      </c>
      <c r="F24" s="30" t="s">
        <v>42</v>
      </c>
      <c r="G24" s="16" t="s">
        <v>33</v>
      </c>
      <c r="H24" s="30" t="s">
        <v>63</v>
      </c>
      <c r="I24" s="16" t="s">
        <v>33</v>
      </c>
      <c r="J24" s="30" t="s">
        <v>42</v>
      </c>
    </row>
    <row r="25" spans="1:22" ht="18" thickBot="1" x14ac:dyDescent="0.45">
      <c r="A25" s="16" t="s">
        <v>33</v>
      </c>
      <c r="B25" s="2" t="s">
        <v>68</v>
      </c>
      <c r="C25" s="16" t="s">
        <v>33</v>
      </c>
      <c r="D25" s="5" t="s">
        <v>46</v>
      </c>
      <c r="E25" s="16" t="s">
        <v>33</v>
      </c>
      <c r="F25" s="5" t="s">
        <v>58</v>
      </c>
      <c r="G25" s="16" t="s">
        <v>33</v>
      </c>
      <c r="H25" s="5" t="s">
        <v>46</v>
      </c>
      <c r="I25" s="16" t="s">
        <v>33</v>
      </c>
      <c r="J25" s="5" t="s">
        <v>52</v>
      </c>
    </row>
    <row r="26" spans="1:22" x14ac:dyDescent="0.4">
      <c r="A26" s="16" t="s">
        <v>35</v>
      </c>
      <c r="B26" s="30" t="s">
        <v>49</v>
      </c>
      <c r="C26" s="16" t="s">
        <v>35</v>
      </c>
      <c r="D26" s="30" t="s">
        <v>49</v>
      </c>
      <c r="E26" s="16" t="s">
        <v>35</v>
      </c>
      <c r="F26" s="30" t="s">
        <v>59</v>
      </c>
      <c r="G26" s="16" t="s">
        <v>35</v>
      </c>
      <c r="H26" s="30" t="s">
        <v>55</v>
      </c>
      <c r="I26" s="16" t="s">
        <v>35</v>
      </c>
      <c r="J26" s="30" t="s">
        <v>53</v>
      </c>
    </row>
    <row r="27" spans="1:22" ht="18" thickBot="1" x14ac:dyDescent="0.45">
      <c r="A27" s="16" t="s">
        <v>35</v>
      </c>
      <c r="B27" s="2" t="s">
        <v>52</v>
      </c>
      <c r="C27" s="16" t="s">
        <v>35</v>
      </c>
      <c r="D27" s="5" t="s">
        <v>58</v>
      </c>
      <c r="E27" s="16" t="s">
        <v>35</v>
      </c>
      <c r="F27" s="5" t="s">
        <v>68</v>
      </c>
      <c r="G27" s="16" t="s">
        <v>35</v>
      </c>
      <c r="H27" s="5" t="s">
        <v>44</v>
      </c>
      <c r="I27" s="16" t="s">
        <v>35</v>
      </c>
      <c r="J27" s="5" t="s">
        <v>58</v>
      </c>
    </row>
    <row r="28" spans="1:22" x14ac:dyDescent="0.4">
      <c r="A28" s="16" t="s">
        <v>37</v>
      </c>
      <c r="B28" s="30" t="s">
        <v>42</v>
      </c>
      <c r="C28" s="16" t="s">
        <v>37</v>
      </c>
      <c r="D28" s="30" t="s">
        <v>47</v>
      </c>
      <c r="E28" s="16" t="s">
        <v>37</v>
      </c>
      <c r="F28" s="30" t="s">
        <v>40</v>
      </c>
      <c r="G28" s="16" t="s">
        <v>37</v>
      </c>
      <c r="H28" s="30" t="s">
        <v>42</v>
      </c>
      <c r="I28" s="16" t="s">
        <v>37</v>
      </c>
      <c r="J28" s="30" t="s">
        <v>61</v>
      </c>
    </row>
    <row r="29" spans="1:22" ht="18" thickBot="1" x14ac:dyDescent="0.45">
      <c r="A29" s="16" t="s">
        <v>37</v>
      </c>
      <c r="B29" s="2" t="s">
        <v>44</v>
      </c>
      <c r="C29" s="16" t="s">
        <v>37</v>
      </c>
      <c r="D29" s="5" t="s">
        <v>68</v>
      </c>
      <c r="E29" s="16" t="s">
        <v>37</v>
      </c>
      <c r="F29" s="5" t="s">
        <v>46</v>
      </c>
      <c r="G29" s="16" t="s">
        <v>37</v>
      </c>
      <c r="H29" s="5" t="s">
        <v>52</v>
      </c>
      <c r="I29" s="16" t="s">
        <v>37</v>
      </c>
      <c r="J29" s="5" t="s">
        <v>44</v>
      </c>
    </row>
    <row r="30" spans="1:22" ht="18" thickBot="1" x14ac:dyDescent="0.45">
      <c r="A30" s="11" t="s">
        <v>39</v>
      </c>
      <c r="B30" s="30" t="s">
        <v>59</v>
      </c>
      <c r="C30" s="11" t="s">
        <v>39</v>
      </c>
      <c r="D30" s="30" t="s">
        <v>65</v>
      </c>
      <c r="E30" s="11" t="s">
        <v>39</v>
      </c>
      <c r="F30" s="30" t="s">
        <v>65</v>
      </c>
      <c r="G30" s="11" t="s">
        <v>39</v>
      </c>
      <c r="H30" s="30" t="s">
        <v>49</v>
      </c>
      <c r="I30" s="11" t="s">
        <v>39</v>
      </c>
      <c r="J30" s="30" t="s">
        <v>59</v>
      </c>
    </row>
    <row r="31" spans="1:22" ht="18" thickBot="1" x14ac:dyDescent="0.45">
      <c r="A31" s="11" t="s">
        <v>39</v>
      </c>
      <c r="B31" s="15" t="s">
        <v>44</v>
      </c>
      <c r="C31" s="11" t="s">
        <v>39</v>
      </c>
      <c r="D31" s="7" t="s">
        <v>52</v>
      </c>
      <c r="E31" s="11" t="s">
        <v>39</v>
      </c>
      <c r="F31" s="7" t="s">
        <v>68</v>
      </c>
      <c r="G31" s="11" t="s">
        <v>39</v>
      </c>
      <c r="H31" s="7" t="s">
        <v>68</v>
      </c>
      <c r="I31" s="11" t="s">
        <v>39</v>
      </c>
      <c r="J31" s="7" t="s">
        <v>46</v>
      </c>
    </row>
    <row r="32" spans="1:22" ht="18" thickBot="1" x14ac:dyDescent="0.45">
      <c r="A32" s="10" t="s">
        <v>99</v>
      </c>
      <c r="B32" s="30" t="s">
        <v>63</v>
      </c>
      <c r="C32" s="10" t="s">
        <v>107</v>
      </c>
      <c r="D32" s="30" t="s">
        <v>65</v>
      </c>
      <c r="I32" s="10" t="s">
        <v>115</v>
      </c>
      <c r="J32" s="30" t="s">
        <v>63</v>
      </c>
    </row>
    <row r="33" spans="1:10" ht="18" thickBot="1" x14ac:dyDescent="0.45">
      <c r="A33" s="10" t="s">
        <v>99</v>
      </c>
      <c r="B33" s="14" t="s">
        <v>46</v>
      </c>
      <c r="C33" s="10" t="s">
        <v>107</v>
      </c>
      <c r="D33" s="12" t="s">
        <v>68</v>
      </c>
      <c r="I33" s="10" t="s">
        <v>115</v>
      </c>
      <c r="J33" s="12" t="s">
        <v>56</v>
      </c>
    </row>
    <row r="34" spans="1:10" x14ac:dyDescent="0.4">
      <c r="A34" s="16" t="s">
        <v>101</v>
      </c>
      <c r="B34" s="30" t="s">
        <v>61</v>
      </c>
      <c r="C34" s="16" t="s">
        <v>109</v>
      </c>
      <c r="D34" s="30" t="s">
        <v>61</v>
      </c>
      <c r="I34" s="16" t="s">
        <v>117</v>
      </c>
      <c r="J34" s="30" t="s">
        <v>65</v>
      </c>
    </row>
    <row r="35" spans="1:10" ht="18" thickBot="1" x14ac:dyDescent="0.45">
      <c r="A35" s="16" t="s">
        <v>101</v>
      </c>
      <c r="B35" s="2" t="s">
        <v>66</v>
      </c>
      <c r="C35" s="16" t="s">
        <v>109</v>
      </c>
      <c r="D35" s="5" t="s">
        <v>44</v>
      </c>
      <c r="I35" s="16" t="s">
        <v>117</v>
      </c>
      <c r="J35" s="5" t="s">
        <v>58</v>
      </c>
    </row>
    <row r="36" spans="1:10" x14ac:dyDescent="0.4">
      <c r="A36" s="16" t="s">
        <v>103</v>
      </c>
      <c r="B36" s="30" t="s">
        <v>53</v>
      </c>
      <c r="C36" s="16" t="s">
        <v>111</v>
      </c>
      <c r="D36" s="30" t="s">
        <v>61</v>
      </c>
      <c r="I36" s="16" t="s">
        <v>119</v>
      </c>
      <c r="J36" s="30" t="s">
        <v>65</v>
      </c>
    </row>
    <row r="37" spans="1:10" ht="18" thickBot="1" x14ac:dyDescent="0.45">
      <c r="A37" s="16" t="s">
        <v>103</v>
      </c>
      <c r="B37" s="2" t="s">
        <v>58</v>
      </c>
      <c r="C37" s="16" t="s">
        <v>111</v>
      </c>
      <c r="D37" s="5" t="s">
        <v>68</v>
      </c>
      <c r="I37" s="16" t="s">
        <v>119</v>
      </c>
      <c r="J37" s="5" t="s">
        <v>46</v>
      </c>
    </row>
    <row r="38" spans="1:10" ht="18" thickBot="1" x14ac:dyDescent="0.45">
      <c r="A38" s="11" t="s">
        <v>105</v>
      </c>
      <c r="B38" s="30" t="s">
        <v>65</v>
      </c>
      <c r="C38" s="11" t="s">
        <v>113</v>
      </c>
      <c r="D38" s="30" t="s">
        <v>40</v>
      </c>
      <c r="I38" s="11" t="s">
        <v>121</v>
      </c>
      <c r="J38" s="30" t="s">
        <v>40</v>
      </c>
    </row>
    <row r="39" spans="1:10" ht="18" thickBot="1" x14ac:dyDescent="0.45">
      <c r="A39" s="11" t="s">
        <v>105</v>
      </c>
      <c r="B39" s="15" t="s">
        <v>68</v>
      </c>
      <c r="C39" s="11" t="s">
        <v>113</v>
      </c>
      <c r="D39" s="7" t="s">
        <v>56</v>
      </c>
      <c r="I39" s="11" t="s">
        <v>121</v>
      </c>
      <c r="J39" s="7" t="s">
        <v>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A5996-550E-4F09-9824-AEACEC30C91E}">
  <sheetPr codeName="Sheet10"/>
  <dimension ref="A1:K22"/>
  <sheetViews>
    <sheetView workbookViewId="0">
      <selection activeCell="C24" sqref="C24"/>
    </sheetView>
  </sheetViews>
  <sheetFormatPr defaultRowHeight="17.399999999999999" x14ac:dyDescent="0.4"/>
  <sheetData>
    <row r="1" spans="1:11" ht="18" thickBot="1" x14ac:dyDescent="0.45">
      <c r="A1" s="22" t="s">
        <v>1</v>
      </c>
      <c r="B1" s="22" t="s">
        <v>3</v>
      </c>
      <c r="C1" s="22" t="s">
        <v>5</v>
      </c>
      <c r="D1" s="22" t="s">
        <v>7</v>
      </c>
      <c r="E1" s="22" t="s">
        <v>9</v>
      </c>
      <c r="F1" s="20" t="s">
        <v>79</v>
      </c>
      <c r="G1" s="20" t="s">
        <v>81</v>
      </c>
      <c r="H1" s="20" t="s">
        <v>83</v>
      </c>
      <c r="I1" s="20" t="s">
        <v>85</v>
      </c>
      <c r="J1" s="20" t="s">
        <v>87</v>
      </c>
      <c r="K1" s="20" t="s">
        <v>89</v>
      </c>
    </row>
    <row r="2" spans="1:11" ht="18" thickBot="1" x14ac:dyDescent="0.45">
      <c r="A2" s="22"/>
      <c r="B2" s="22"/>
      <c r="C2" s="22"/>
      <c r="D2" s="22"/>
      <c r="E2" s="22"/>
      <c r="F2" s="20"/>
      <c r="G2" s="20"/>
      <c r="H2" s="20"/>
      <c r="I2" s="20"/>
      <c r="J2" s="20"/>
      <c r="K2" s="20"/>
    </row>
    <row r="3" spans="1:11" x14ac:dyDescent="0.4">
      <c r="A3" s="10" t="s">
        <v>11</v>
      </c>
      <c r="B3" s="10" t="s">
        <v>11</v>
      </c>
      <c r="C3" s="10" t="s">
        <v>11</v>
      </c>
      <c r="D3" s="10" t="s">
        <v>11</v>
      </c>
      <c r="E3" s="10" t="s">
        <v>11</v>
      </c>
      <c r="F3" s="10" t="s">
        <v>71</v>
      </c>
      <c r="G3" s="10" t="s">
        <v>71</v>
      </c>
      <c r="H3" s="10" t="s">
        <v>71</v>
      </c>
      <c r="I3" s="10" t="s">
        <v>91</v>
      </c>
      <c r="J3" s="10" t="s">
        <v>91</v>
      </c>
      <c r="K3" s="10" t="s">
        <v>91</v>
      </c>
    </row>
    <row r="4" spans="1:11" x14ac:dyDescent="0.4">
      <c r="A4" s="16" t="s">
        <v>13</v>
      </c>
      <c r="B4" s="16" t="s">
        <v>13</v>
      </c>
      <c r="C4" s="16" t="s">
        <v>13</v>
      </c>
      <c r="D4" s="16" t="s">
        <v>13</v>
      </c>
      <c r="E4" s="16" t="s">
        <v>13</v>
      </c>
      <c r="F4" s="16" t="s">
        <v>73</v>
      </c>
      <c r="G4" s="16" t="s">
        <v>73</v>
      </c>
      <c r="H4" s="16" t="s">
        <v>73</v>
      </c>
      <c r="I4" s="16" t="s">
        <v>93</v>
      </c>
      <c r="J4" s="16" t="s">
        <v>93</v>
      </c>
      <c r="K4" s="16" t="s">
        <v>93</v>
      </c>
    </row>
    <row r="5" spans="1:11" x14ac:dyDescent="0.4">
      <c r="A5" s="16" t="s">
        <v>15</v>
      </c>
      <c r="B5" s="16" t="s">
        <v>15</v>
      </c>
      <c r="C5" s="16" t="s">
        <v>15</v>
      </c>
      <c r="D5" s="16" t="s">
        <v>15</v>
      </c>
      <c r="E5" s="16" t="s">
        <v>15</v>
      </c>
      <c r="F5" s="16" t="s">
        <v>75</v>
      </c>
      <c r="G5" s="16" t="s">
        <v>75</v>
      </c>
      <c r="H5" s="16" t="s">
        <v>75</v>
      </c>
      <c r="I5" s="16" t="s">
        <v>95</v>
      </c>
      <c r="J5" s="16" t="s">
        <v>95</v>
      </c>
      <c r="K5" s="16" t="s">
        <v>95</v>
      </c>
    </row>
    <row r="6" spans="1:11" ht="18" thickBot="1" x14ac:dyDescent="0.45">
      <c r="A6" s="16" t="s">
        <v>17</v>
      </c>
      <c r="B6" s="16" t="s">
        <v>17</v>
      </c>
      <c r="C6" s="16" t="s">
        <v>17</v>
      </c>
      <c r="D6" s="16" t="s">
        <v>17</v>
      </c>
      <c r="E6" s="16" t="s">
        <v>17</v>
      </c>
      <c r="F6" s="11" t="s">
        <v>77</v>
      </c>
      <c r="G6" s="11" t="s">
        <v>77</v>
      </c>
      <c r="H6" s="11" t="s">
        <v>77</v>
      </c>
      <c r="I6" s="11" t="s">
        <v>97</v>
      </c>
      <c r="J6" s="11" t="s">
        <v>97</v>
      </c>
      <c r="K6" s="11" t="s">
        <v>97</v>
      </c>
    </row>
    <row r="7" spans="1:11" x14ac:dyDescent="0.4">
      <c r="A7" s="16" t="s">
        <v>19</v>
      </c>
      <c r="B7" s="16" t="s">
        <v>19</v>
      </c>
      <c r="C7" s="16" t="s">
        <v>19</v>
      </c>
      <c r="D7" s="16" t="s">
        <v>19</v>
      </c>
      <c r="E7" s="16" t="s">
        <v>19</v>
      </c>
      <c r="F7" s="10" t="s">
        <v>99</v>
      </c>
      <c r="G7" s="10" t="s">
        <v>107</v>
      </c>
      <c r="H7" s="10" t="s">
        <v>115</v>
      </c>
      <c r="I7" s="10" t="s">
        <v>99</v>
      </c>
      <c r="J7" s="10" t="s">
        <v>107</v>
      </c>
      <c r="K7" s="10" t="s">
        <v>115</v>
      </c>
    </row>
    <row r="8" spans="1:11" x14ac:dyDescent="0.4">
      <c r="A8" s="16" t="s">
        <v>21</v>
      </c>
      <c r="B8" s="16" t="s">
        <v>21</v>
      </c>
      <c r="C8" s="16" t="s">
        <v>21</v>
      </c>
      <c r="D8" s="16" t="s">
        <v>21</v>
      </c>
      <c r="E8" s="16" t="s">
        <v>21</v>
      </c>
      <c r="F8" s="16" t="s">
        <v>101</v>
      </c>
      <c r="G8" s="16" t="s">
        <v>109</v>
      </c>
      <c r="H8" s="16" t="s">
        <v>117</v>
      </c>
      <c r="I8" s="16" t="s">
        <v>101</v>
      </c>
      <c r="J8" s="16" t="s">
        <v>109</v>
      </c>
      <c r="K8" s="16" t="s">
        <v>117</v>
      </c>
    </row>
    <row r="9" spans="1:11" x14ac:dyDescent="0.4">
      <c r="A9" s="16" t="s">
        <v>23</v>
      </c>
      <c r="B9" s="16" t="s">
        <v>23</v>
      </c>
      <c r="C9" s="16" t="s">
        <v>23</v>
      </c>
      <c r="D9" s="16" t="s">
        <v>23</v>
      </c>
      <c r="E9" s="16" t="s">
        <v>23</v>
      </c>
      <c r="F9" s="16" t="s">
        <v>103</v>
      </c>
      <c r="G9" s="16" t="s">
        <v>111</v>
      </c>
      <c r="H9" s="16" t="s">
        <v>119</v>
      </c>
      <c r="I9" s="16" t="s">
        <v>103</v>
      </c>
      <c r="J9" s="16" t="s">
        <v>111</v>
      </c>
      <c r="K9" s="16" t="s">
        <v>119</v>
      </c>
    </row>
    <row r="10" spans="1:11" ht="18" thickBot="1" x14ac:dyDescent="0.45">
      <c r="A10" s="16" t="s">
        <v>25</v>
      </c>
      <c r="B10" s="16" t="s">
        <v>25</v>
      </c>
      <c r="C10" s="16" t="s">
        <v>25</v>
      </c>
      <c r="D10" s="16" t="s">
        <v>25</v>
      </c>
      <c r="E10" s="16" t="s">
        <v>25</v>
      </c>
      <c r="F10" s="11" t="s">
        <v>105</v>
      </c>
      <c r="G10" s="11" t="s">
        <v>113</v>
      </c>
      <c r="H10" s="11" t="s">
        <v>121</v>
      </c>
      <c r="I10" s="11" t="s">
        <v>105</v>
      </c>
      <c r="J10" s="11" t="s">
        <v>113</v>
      </c>
      <c r="K10" s="11" t="s">
        <v>121</v>
      </c>
    </row>
    <row r="11" spans="1:11" x14ac:dyDescent="0.4">
      <c r="A11" s="16" t="s">
        <v>27</v>
      </c>
      <c r="B11" s="16" t="s">
        <v>27</v>
      </c>
      <c r="C11" s="16" t="s">
        <v>27</v>
      </c>
      <c r="D11" s="16" t="s">
        <v>27</v>
      </c>
      <c r="E11" s="16" t="s">
        <v>27</v>
      </c>
      <c r="F11" s="23"/>
      <c r="G11" s="23"/>
      <c r="H11" s="23"/>
      <c r="I11" s="23"/>
      <c r="J11" s="23"/>
      <c r="K11" s="23"/>
    </row>
    <row r="12" spans="1:11" x14ac:dyDescent="0.4">
      <c r="A12" s="16" t="s">
        <v>29</v>
      </c>
      <c r="B12" s="16" t="s">
        <v>29</v>
      </c>
      <c r="C12" s="16" t="s">
        <v>29</v>
      </c>
      <c r="D12" s="16" t="s">
        <v>29</v>
      </c>
      <c r="E12" s="16" t="s">
        <v>29</v>
      </c>
      <c r="F12" s="23"/>
      <c r="G12" s="23"/>
      <c r="H12" s="23"/>
      <c r="I12" s="23"/>
      <c r="J12" s="23"/>
      <c r="K12" s="23"/>
    </row>
    <row r="13" spans="1:11" x14ac:dyDescent="0.4">
      <c r="A13" s="16" t="s">
        <v>31</v>
      </c>
      <c r="B13" s="16" t="s">
        <v>31</v>
      </c>
      <c r="C13" s="16" t="s">
        <v>31</v>
      </c>
      <c r="D13" s="16" t="s">
        <v>31</v>
      </c>
      <c r="E13" s="16" t="s">
        <v>31</v>
      </c>
      <c r="F13" s="23"/>
      <c r="G13" s="23"/>
      <c r="H13" s="23"/>
      <c r="I13" s="23"/>
      <c r="J13" s="23"/>
      <c r="K13" s="23"/>
    </row>
    <row r="14" spans="1:11" x14ac:dyDescent="0.4">
      <c r="A14" s="16" t="s">
        <v>33</v>
      </c>
      <c r="B14" s="16" t="s">
        <v>33</v>
      </c>
      <c r="C14" s="16" t="s">
        <v>33</v>
      </c>
      <c r="D14" s="16" t="s">
        <v>33</v>
      </c>
      <c r="E14" s="16" t="s">
        <v>33</v>
      </c>
      <c r="F14" s="23"/>
      <c r="G14" s="23"/>
      <c r="H14" s="23"/>
      <c r="I14" s="23"/>
      <c r="J14" s="23"/>
      <c r="K14" s="23"/>
    </row>
    <row r="15" spans="1:11" x14ac:dyDescent="0.4">
      <c r="A15" s="16" t="s">
        <v>35</v>
      </c>
      <c r="B15" s="16" t="s">
        <v>35</v>
      </c>
      <c r="C15" s="16" t="s">
        <v>35</v>
      </c>
      <c r="D15" s="16" t="s">
        <v>35</v>
      </c>
      <c r="E15" s="16" t="s">
        <v>35</v>
      </c>
      <c r="F15" s="23"/>
      <c r="G15" s="23"/>
      <c r="H15" s="23"/>
      <c r="I15" s="23"/>
      <c r="J15" s="23"/>
      <c r="K15" s="23"/>
    </row>
    <row r="16" spans="1:11" x14ac:dyDescent="0.4">
      <c r="A16" s="16" t="s">
        <v>37</v>
      </c>
      <c r="B16" s="16" t="s">
        <v>37</v>
      </c>
      <c r="C16" s="16" t="s">
        <v>37</v>
      </c>
      <c r="D16" s="16" t="s">
        <v>37</v>
      </c>
      <c r="E16" s="16" t="s">
        <v>37</v>
      </c>
      <c r="F16" s="23"/>
      <c r="G16" s="23"/>
      <c r="H16" s="23"/>
      <c r="I16" s="23"/>
      <c r="J16" s="23"/>
      <c r="K16" s="23"/>
    </row>
    <row r="17" spans="1:11" ht="18" thickBot="1" x14ac:dyDescent="0.45">
      <c r="A17" s="11" t="s">
        <v>39</v>
      </c>
      <c r="B17" s="11" t="s">
        <v>39</v>
      </c>
      <c r="C17" s="11" t="s">
        <v>39</v>
      </c>
      <c r="D17" s="11" t="s">
        <v>39</v>
      </c>
      <c r="E17" s="11" t="s">
        <v>39</v>
      </c>
      <c r="F17" s="23"/>
      <c r="G17" s="23"/>
      <c r="H17" s="23"/>
      <c r="I17" s="23"/>
      <c r="J17" s="23"/>
      <c r="K17" s="23"/>
    </row>
    <row r="18" spans="1:11" x14ac:dyDescent="0.4">
      <c r="A18" s="10" t="s">
        <v>99</v>
      </c>
      <c r="B18" s="10" t="s">
        <v>107</v>
      </c>
      <c r="C18" s="23"/>
      <c r="D18" s="23"/>
      <c r="E18" s="10" t="s">
        <v>115</v>
      </c>
      <c r="F18" s="23"/>
      <c r="G18" s="23"/>
      <c r="H18" s="23"/>
      <c r="I18" s="23"/>
      <c r="J18" s="23"/>
      <c r="K18" s="23"/>
    </row>
    <row r="19" spans="1:11" x14ac:dyDescent="0.4">
      <c r="A19" s="16" t="s">
        <v>101</v>
      </c>
      <c r="B19" s="16" t="s">
        <v>109</v>
      </c>
      <c r="C19" s="23"/>
      <c r="D19" s="23"/>
      <c r="E19" s="16" t="s">
        <v>117</v>
      </c>
    </row>
    <row r="20" spans="1:11" x14ac:dyDescent="0.4">
      <c r="A20" s="16" t="s">
        <v>103</v>
      </c>
      <c r="B20" s="16" t="s">
        <v>111</v>
      </c>
      <c r="C20" s="23"/>
      <c r="D20" s="23"/>
      <c r="E20" s="16" t="s">
        <v>119</v>
      </c>
    </row>
    <row r="21" spans="1:11" ht="18" thickBot="1" x14ac:dyDescent="0.45">
      <c r="A21" s="11" t="s">
        <v>105</v>
      </c>
      <c r="B21" s="11" t="s">
        <v>113</v>
      </c>
      <c r="C21" s="23"/>
      <c r="D21" s="23"/>
      <c r="E21" s="11" t="s">
        <v>121</v>
      </c>
    </row>
    <row r="22" spans="1:11" x14ac:dyDescent="0.4">
      <c r="A22" s="23"/>
      <c r="B22" s="23"/>
      <c r="C22" s="23"/>
      <c r="D22" s="23"/>
      <c r="E22" s="23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B4E3C-1816-4615-888B-2F980B4B9292}">
  <sheetPr codeName="Sheet11"/>
  <dimension ref="B1:D38"/>
  <sheetViews>
    <sheetView workbookViewId="0">
      <selection activeCell="B9" sqref="B9"/>
    </sheetView>
  </sheetViews>
  <sheetFormatPr defaultRowHeight="17.399999999999999" x14ac:dyDescent="0.4"/>
  <cols>
    <col min="1" max="1" width="4.19921875" customWidth="1"/>
  </cols>
  <sheetData>
    <row r="1" spans="2:4" ht="18" thickBot="1" x14ac:dyDescent="0.45"/>
    <row r="2" spans="2:4" ht="18" thickBot="1" x14ac:dyDescent="0.45">
      <c r="B2" s="33" t="s">
        <v>122</v>
      </c>
      <c r="C2" s="34"/>
      <c r="D2" s="35"/>
    </row>
    <row r="3" spans="2:4" ht="18" thickBot="1" x14ac:dyDescent="0.45">
      <c r="B3" s="29" t="s">
        <v>123</v>
      </c>
      <c r="C3" s="29" t="s">
        <v>124</v>
      </c>
      <c r="D3" s="29" t="s">
        <v>125</v>
      </c>
    </row>
    <row r="4" spans="2:4" ht="18" thickTop="1" x14ac:dyDescent="0.4">
      <c r="B4" s="27" t="s">
        <v>58</v>
      </c>
      <c r="C4" s="27" t="s">
        <v>10</v>
      </c>
      <c r="D4" s="27" t="s">
        <v>0</v>
      </c>
    </row>
    <row r="5" spans="2:4" x14ac:dyDescent="0.4">
      <c r="B5" s="27" t="s">
        <v>51</v>
      </c>
      <c r="C5" s="27" t="s">
        <v>12</v>
      </c>
      <c r="D5" s="27" t="s">
        <v>2</v>
      </c>
    </row>
    <row r="6" spans="2:4" x14ac:dyDescent="0.4">
      <c r="B6" s="27" t="s">
        <v>45</v>
      </c>
      <c r="C6" s="27" t="s">
        <v>14</v>
      </c>
      <c r="D6" s="27" t="s">
        <v>4</v>
      </c>
    </row>
    <row r="7" spans="2:4" x14ac:dyDescent="0.4">
      <c r="B7" s="27" t="s">
        <v>67</v>
      </c>
      <c r="C7" s="27" t="s">
        <v>16</v>
      </c>
      <c r="D7" s="27" t="s">
        <v>6</v>
      </c>
    </row>
    <row r="8" spans="2:4" x14ac:dyDescent="0.4">
      <c r="B8" s="27" t="s">
        <v>44</v>
      </c>
      <c r="C8" s="27" t="s">
        <v>18</v>
      </c>
      <c r="D8" s="27" t="s">
        <v>8</v>
      </c>
    </row>
    <row r="9" spans="2:4" x14ac:dyDescent="0.4">
      <c r="B9" s="27" t="s">
        <v>49</v>
      </c>
      <c r="C9" s="27" t="s">
        <v>20</v>
      </c>
      <c r="D9" s="27" t="s">
        <v>78</v>
      </c>
    </row>
    <row r="10" spans="2:4" x14ac:dyDescent="0.4">
      <c r="B10" s="27" t="s">
        <v>65</v>
      </c>
      <c r="C10" s="27" t="s">
        <v>22</v>
      </c>
      <c r="D10" s="27" t="s">
        <v>80</v>
      </c>
    </row>
    <row r="11" spans="2:4" x14ac:dyDescent="0.4">
      <c r="B11" s="27" t="s">
        <v>59</v>
      </c>
      <c r="C11" s="27" t="s">
        <v>24</v>
      </c>
      <c r="D11" s="27" t="s">
        <v>82</v>
      </c>
    </row>
    <row r="12" spans="2:4" x14ac:dyDescent="0.4">
      <c r="B12" s="27" t="s">
        <v>55</v>
      </c>
      <c r="C12" s="27" t="s">
        <v>26</v>
      </c>
      <c r="D12" s="27" t="s">
        <v>84</v>
      </c>
    </row>
    <row r="13" spans="2:4" x14ac:dyDescent="0.4">
      <c r="B13" s="27" t="s">
        <v>53</v>
      </c>
      <c r="C13" s="27" t="s">
        <v>28</v>
      </c>
      <c r="D13" s="27" t="s">
        <v>86</v>
      </c>
    </row>
    <row r="14" spans="2:4" x14ac:dyDescent="0.4">
      <c r="B14" s="27" t="s">
        <v>47</v>
      </c>
      <c r="C14" s="27" t="s">
        <v>30</v>
      </c>
      <c r="D14" s="27" t="s">
        <v>88</v>
      </c>
    </row>
    <row r="15" spans="2:4" x14ac:dyDescent="0.4">
      <c r="B15" s="27" t="s">
        <v>42</v>
      </c>
      <c r="C15" s="27" t="s">
        <v>32</v>
      </c>
      <c r="D15" s="27"/>
    </row>
    <row r="16" spans="2:4" x14ac:dyDescent="0.4">
      <c r="B16" s="27" t="s">
        <v>61</v>
      </c>
      <c r="C16" s="27" t="s">
        <v>34</v>
      </c>
      <c r="D16" s="27"/>
    </row>
    <row r="17" spans="2:4" x14ac:dyDescent="0.4">
      <c r="B17" s="27" t="s">
        <v>41</v>
      </c>
      <c r="C17" s="27" t="s">
        <v>36</v>
      </c>
      <c r="D17" s="27"/>
    </row>
    <row r="18" spans="2:4" x14ac:dyDescent="0.4">
      <c r="B18" s="27" t="s">
        <v>63</v>
      </c>
      <c r="C18" s="27" t="s">
        <v>38</v>
      </c>
      <c r="D18" s="27"/>
    </row>
    <row r="19" spans="2:4" x14ac:dyDescent="0.4">
      <c r="B19" s="27"/>
      <c r="C19" s="27" t="s">
        <v>70</v>
      </c>
      <c r="D19" s="27"/>
    </row>
    <row r="20" spans="2:4" x14ac:dyDescent="0.4">
      <c r="B20" s="27"/>
      <c r="C20" s="27" t="s">
        <v>72</v>
      </c>
      <c r="D20" s="27"/>
    </row>
    <row r="21" spans="2:4" x14ac:dyDescent="0.4">
      <c r="B21" s="27"/>
      <c r="C21" s="27" t="s">
        <v>74</v>
      </c>
      <c r="D21" s="27"/>
    </row>
    <row r="22" spans="2:4" x14ac:dyDescent="0.4">
      <c r="B22" s="27"/>
      <c r="C22" s="27" t="s">
        <v>76</v>
      </c>
      <c r="D22" s="27"/>
    </row>
    <row r="23" spans="2:4" x14ac:dyDescent="0.4">
      <c r="B23" s="27"/>
      <c r="C23" s="27" t="s">
        <v>90</v>
      </c>
      <c r="D23" s="27"/>
    </row>
    <row r="24" spans="2:4" x14ac:dyDescent="0.4">
      <c r="B24" s="27"/>
      <c r="C24" s="27" t="s">
        <v>92</v>
      </c>
      <c r="D24" s="27"/>
    </row>
    <row r="25" spans="2:4" x14ac:dyDescent="0.4">
      <c r="B25" s="27"/>
      <c r="C25" s="27" t="s">
        <v>94</v>
      </c>
      <c r="D25" s="27"/>
    </row>
    <row r="26" spans="2:4" x14ac:dyDescent="0.4">
      <c r="B26" s="27"/>
      <c r="C26" s="27" t="s">
        <v>96</v>
      </c>
      <c r="D26" s="27"/>
    </row>
    <row r="27" spans="2:4" x14ac:dyDescent="0.4">
      <c r="B27" s="27"/>
      <c r="C27" s="27" t="s">
        <v>98</v>
      </c>
      <c r="D27" s="27"/>
    </row>
    <row r="28" spans="2:4" x14ac:dyDescent="0.4">
      <c r="B28" s="27"/>
      <c r="C28" s="27" t="s">
        <v>100</v>
      </c>
      <c r="D28" s="27"/>
    </row>
    <row r="29" spans="2:4" x14ac:dyDescent="0.4">
      <c r="B29" s="27"/>
      <c r="C29" s="27" t="s">
        <v>102</v>
      </c>
      <c r="D29" s="27"/>
    </row>
    <row r="30" spans="2:4" x14ac:dyDescent="0.4">
      <c r="B30" s="27"/>
      <c r="C30" s="27" t="s">
        <v>104</v>
      </c>
      <c r="D30" s="27"/>
    </row>
    <row r="31" spans="2:4" x14ac:dyDescent="0.4">
      <c r="B31" s="27"/>
      <c r="C31" s="27" t="s">
        <v>106</v>
      </c>
      <c r="D31" s="27"/>
    </row>
    <row r="32" spans="2:4" x14ac:dyDescent="0.4">
      <c r="B32" s="27"/>
      <c r="C32" s="27" t="s">
        <v>108</v>
      </c>
      <c r="D32" s="27"/>
    </row>
    <row r="33" spans="2:4" x14ac:dyDescent="0.4">
      <c r="B33" s="27"/>
      <c r="C33" s="27" t="s">
        <v>110</v>
      </c>
      <c r="D33" s="27"/>
    </row>
    <row r="34" spans="2:4" x14ac:dyDescent="0.4">
      <c r="B34" s="27"/>
      <c r="C34" s="27" t="s">
        <v>112</v>
      </c>
      <c r="D34" s="27"/>
    </row>
    <row r="35" spans="2:4" x14ac:dyDescent="0.4">
      <c r="B35" s="27"/>
      <c r="C35" s="27" t="s">
        <v>114</v>
      </c>
      <c r="D35" s="27"/>
    </row>
    <row r="36" spans="2:4" x14ac:dyDescent="0.4">
      <c r="B36" s="27"/>
      <c r="C36" s="27" t="s">
        <v>116</v>
      </c>
      <c r="D36" s="27"/>
    </row>
    <row r="37" spans="2:4" x14ac:dyDescent="0.4">
      <c r="B37" s="27"/>
      <c r="C37" s="27" t="s">
        <v>118</v>
      </c>
      <c r="D37" s="27"/>
    </row>
    <row r="38" spans="2:4" ht="18" thickBot="1" x14ac:dyDescent="0.45">
      <c r="B38" s="28"/>
      <c r="C38" s="28" t="s">
        <v>120</v>
      </c>
      <c r="D38" s="28"/>
    </row>
  </sheetData>
  <mergeCells count="1">
    <mergeCell ref="B2:D2"/>
  </mergeCells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083D9F-8D9A-42B6-A4F6-C583FF842903}">
  <sheetPr codeName="Sheet13"/>
  <dimension ref="A2:L3"/>
  <sheetViews>
    <sheetView workbookViewId="0">
      <selection activeCell="R18" sqref="R18"/>
    </sheetView>
  </sheetViews>
  <sheetFormatPr defaultRowHeight="17.399999999999999" x14ac:dyDescent="0.4"/>
  <sheetData>
    <row r="2" spans="1:12" x14ac:dyDescent="0.4">
      <c r="B2" s="23" t="s">
        <v>0</v>
      </c>
      <c r="C2" s="23" t="s">
        <v>2</v>
      </c>
      <c r="D2" s="23" t="s">
        <v>4</v>
      </c>
      <c r="E2" s="23" t="s">
        <v>6</v>
      </c>
      <c r="F2" s="23" t="s">
        <v>8</v>
      </c>
      <c r="G2" s="23" t="s">
        <v>78</v>
      </c>
      <c r="H2" s="23" t="s">
        <v>80</v>
      </c>
      <c r="I2" s="23" t="s">
        <v>82</v>
      </c>
      <c r="J2" s="23" t="s">
        <v>84</v>
      </c>
      <c r="K2" s="23" t="s">
        <v>86</v>
      </c>
      <c r="L2" s="23" t="s">
        <v>88</v>
      </c>
    </row>
    <row r="3" spans="1:12" x14ac:dyDescent="0.4">
      <c r="A3" t="s">
        <v>126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  <c r="H3">
        <v>1</v>
      </c>
      <c r="I3">
        <v>1</v>
      </c>
      <c r="J3">
        <v>1</v>
      </c>
      <c r="K3">
        <v>1</v>
      </c>
      <c r="L3">
        <v>1</v>
      </c>
    </row>
  </sheetData>
  <phoneticPr fontId="1" type="noConversion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58CE3-5F1A-49B9-8DAF-387F62733C89}">
  <sheetPr codeName="Sheet12"/>
  <dimension ref="I4:M9"/>
  <sheetViews>
    <sheetView workbookViewId="0">
      <selection activeCell="K19" sqref="K19"/>
    </sheetView>
  </sheetViews>
  <sheetFormatPr defaultRowHeight="17.399999999999999" x14ac:dyDescent="0.4"/>
  <sheetData>
    <row r="4" spans="9:13" x14ac:dyDescent="0.4">
      <c r="J4" s="36" t="s">
        <v>138</v>
      </c>
      <c r="K4" s="36"/>
      <c r="L4" s="36"/>
      <c r="M4" s="36"/>
    </row>
    <row r="6" spans="9:13" x14ac:dyDescent="0.4">
      <c r="I6" t="s">
        <v>150</v>
      </c>
    </row>
    <row r="7" spans="9:13" x14ac:dyDescent="0.4">
      <c r="I7" t="s">
        <v>127</v>
      </c>
    </row>
    <row r="8" spans="9:13" x14ac:dyDescent="0.4">
      <c r="I8" t="s">
        <v>128</v>
      </c>
    </row>
    <row r="9" spans="9:13" x14ac:dyDescent="0.4">
      <c r="I9" t="s">
        <v>137</v>
      </c>
    </row>
  </sheetData>
  <mergeCells count="1">
    <mergeCell ref="J4:M4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81" r:id="rId4" name="Button 17">
              <controlPr defaultSize="0" print="0" autoFill="0" autoPict="0" macro="[0]!단추17_Click">
                <anchor moveWithCells="1" sizeWithCells="1">
                  <from>
                    <xdr:col>5</xdr:col>
                    <xdr:colOff>7620</xdr:colOff>
                    <xdr:row>2</xdr:row>
                    <xdr:rowOff>213360</xdr:rowOff>
                  </from>
                  <to>
                    <xdr:col>6</xdr:col>
                    <xdr:colOff>464820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CBAEFF-196F-4D06-A170-28A4FB746D8A}">
  <sheetPr codeName="Sheet14"/>
  <dimension ref="B1:R25"/>
  <sheetViews>
    <sheetView tabSelected="1" workbookViewId="0">
      <selection activeCell="R6" sqref="R6"/>
    </sheetView>
  </sheetViews>
  <sheetFormatPr defaultRowHeight="17.399999999999999" x14ac:dyDescent="0.4"/>
  <sheetData>
    <row r="1" spans="2:18" x14ac:dyDescent="0.4">
      <c r="P1" t="s">
        <v>148</v>
      </c>
    </row>
    <row r="2" spans="2:18" x14ac:dyDescent="0.4">
      <c r="P2" t="s">
        <v>149</v>
      </c>
    </row>
    <row r="3" spans="2:18" x14ac:dyDescent="0.4">
      <c r="B3" t="s">
        <v>129</v>
      </c>
    </row>
    <row r="4" spans="2:18" x14ac:dyDescent="0.4">
      <c r="B4" t="s">
        <v>130</v>
      </c>
    </row>
    <row r="5" spans="2:18" x14ac:dyDescent="0.4">
      <c r="R5" t="s">
        <v>151</v>
      </c>
    </row>
    <row r="8" spans="2:18" x14ac:dyDescent="0.4">
      <c r="B8" t="s">
        <v>144</v>
      </c>
    </row>
    <row r="9" spans="2:18" x14ac:dyDescent="0.4">
      <c r="B9" t="s">
        <v>145</v>
      </c>
    </row>
    <row r="10" spans="2:18" x14ac:dyDescent="0.4">
      <c r="R10" t="s">
        <v>131</v>
      </c>
    </row>
    <row r="11" spans="2:18" x14ac:dyDescent="0.4">
      <c r="R11" t="s">
        <v>139</v>
      </c>
    </row>
    <row r="12" spans="2:18" x14ac:dyDescent="0.4">
      <c r="R12" t="s">
        <v>140</v>
      </c>
    </row>
    <row r="13" spans="2:18" x14ac:dyDescent="0.4">
      <c r="B13" t="s">
        <v>135</v>
      </c>
      <c r="R13" t="s">
        <v>141</v>
      </c>
    </row>
    <row r="14" spans="2:18" x14ac:dyDescent="0.4">
      <c r="B14" t="s">
        <v>136</v>
      </c>
      <c r="R14" t="s">
        <v>142</v>
      </c>
    </row>
    <row r="15" spans="2:18" x14ac:dyDescent="0.4">
      <c r="R15" t="s">
        <v>143</v>
      </c>
    </row>
    <row r="17" spans="8:18" x14ac:dyDescent="0.4">
      <c r="R17" t="s">
        <v>132</v>
      </c>
    </row>
    <row r="18" spans="8:18" x14ac:dyDescent="0.4">
      <c r="R18" t="s">
        <v>133</v>
      </c>
    </row>
    <row r="19" spans="8:18" x14ac:dyDescent="0.4">
      <c r="R19" t="s">
        <v>134</v>
      </c>
    </row>
    <row r="24" spans="8:18" x14ac:dyDescent="0.4">
      <c r="H24" t="s">
        <v>146</v>
      </c>
    </row>
    <row r="25" spans="8:18" x14ac:dyDescent="0.4">
      <c r="H25" t="s">
        <v>147</v>
      </c>
    </row>
  </sheetData>
  <phoneticPr fontId="1" type="noConversion"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D07E18-5BDA-45F0-A549-97BC4774235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이벤트 던전 파밍 해보자!</vt:lpstr>
      <vt:lpstr>설명서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IntegetC</dc:creator>
  <cp:lastModifiedBy>IntegetC</cp:lastModifiedBy>
  <dcterms:created xsi:type="dcterms:W3CDTF">2021-07-22T07:05:30Z</dcterms:created>
  <dcterms:modified xsi:type="dcterms:W3CDTF">2021-07-24T00:14:44Z</dcterms:modified>
</cp:coreProperties>
</file>